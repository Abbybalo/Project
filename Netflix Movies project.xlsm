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mancoll-my.sharepoint.com/personal/1426348_stu_tmc_ac_uk/Documents/Documents/PROJECT/"/>
    </mc:Choice>
  </mc:AlternateContent>
  <xr:revisionPtr revIDLastSave="0" documentId="8_{205A3E4B-9FFF-4601-A44E-491126DFCB8F}" xr6:coauthVersionLast="47" xr6:coauthVersionMax="47" xr10:uidLastSave="{00000000-0000-0000-0000-000000000000}"/>
  <bookViews>
    <workbookView xWindow="-110" yWindow="-110" windowWidth="19420" windowHeight="12420" activeTab="1" xr2:uid="{00000000-000D-0000-FFFF-FFFF00000000}"/>
  </bookViews>
  <sheets>
    <sheet name="Sheet1" sheetId="3" r:id="rId1"/>
    <sheet name="Netflix Movies (2)" sheetId="2" r:id="rId2"/>
    <sheet name="Netflix Movies" sheetId="1" r:id="rId3"/>
  </sheets>
  <definedNames>
    <definedName name="_xlchart.v1.0" hidden="1">'Netflix Movies (2)'!$B$2:$B$585</definedName>
    <definedName name="_xlchart.v1.1" hidden="1">'Netflix Movies (2)'!$C$1</definedName>
    <definedName name="_xlchart.v1.10" hidden="1">'Netflix Movies (2)'!$C$1</definedName>
    <definedName name="_xlchart.v1.11" hidden="1">'Netflix Movies (2)'!$C$2:$C$585</definedName>
    <definedName name="_xlchart.v1.2" hidden="1">'Netflix Movies (2)'!$C$2:$C$585</definedName>
    <definedName name="_xlchart.v1.3" hidden="1">'Netflix Movies (2)'!$B$2:$B$585</definedName>
    <definedName name="_xlchart.v1.4" hidden="1">'Netflix Movies (2)'!$C$1</definedName>
    <definedName name="_xlchart.v1.5" hidden="1">'Netflix Movies (2)'!$C$2:$C$585</definedName>
    <definedName name="_xlchart.v1.6" hidden="1">'Netflix Movies (2)'!$B$2:$B$585</definedName>
    <definedName name="_xlchart.v1.7" hidden="1">'Netflix Movies (2)'!$C$1</definedName>
    <definedName name="_xlchart.v1.8" hidden="1">'Netflix Movies (2)'!$C$2:$C$585</definedName>
    <definedName name="_xlchart.v1.9" hidden="1">'Netflix Movies (2)'!$B$2:$B$585</definedName>
    <definedName name="ExternalData_1" localSheetId="1" hidden="1">'Netflix Movies (2)'!$A$1:$E$585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9" i="2" l="1"/>
  <c r="G122" i="2"/>
  <c r="G437" i="2"/>
  <c r="G504" i="2"/>
  <c r="G246" i="2"/>
  <c r="G138" i="2"/>
  <c r="G257" i="2"/>
  <c r="G483" i="2"/>
  <c r="G332" i="2"/>
  <c r="G382" i="2"/>
  <c r="G384" i="2"/>
  <c r="G447" i="2"/>
  <c r="G574" i="2"/>
  <c r="G34" i="2"/>
  <c r="G286" i="2"/>
  <c r="G28" i="2"/>
  <c r="G182" i="2"/>
  <c r="G486" i="2"/>
  <c r="G568" i="2"/>
  <c r="G125" i="2"/>
  <c r="G197" i="2"/>
  <c r="G386" i="2"/>
  <c r="G396" i="2"/>
  <c r="G466" i="2"/>
  <c r="G537" i="2"/>
  <c r="G156" i="2"/>
  <c r="G244" i="2"/>
  <c r="G393" i="2"/>
  <c r="G498" i="2"/>
  <c r="G8" i="2"/>
  <c r="G27" i="2"/>
  <c r="G215" i="2"/>
  <c r="G334" i="2"/>
  <c r="G341" i="2"/>
  <c r="G350" i="2"/>
  <c r="G512" i="2"/>
  <c r="G565" i="2"/>
  <c r="G163" i="2"/>
  <c r="G231" i="2"/>
  <c r="G390" i="2"/>
  <c r="G405" i="2"/>
  <c r="G442" i="2"/>
  <c r="G566" i="2"/>
  <c r="G98" i="2"/>
  <c r="G106" i="2"/>
  <c r="G293" i="2"/>
  <c r="G307" i="2"/>
  <c r="G424" i="2"/>
  <c r="G493" i="2"/>
  <c r="G519" i="2"/>
  <c r="G140" i="2"/>
  <c r="G159" i="2"/>
  <c r="G205" i="2"/>
  <c r="G454" i="2"/>
  <c r="G29" i="2"/>
  <c r="G211" i="2"/>
  <c r="G270" i="2"/>
  <c r="G352" i="2"/>
  <c r="G415" i="2"/>
  <c r="G86" i="2"/>
  <c r="G104" i="2"/>
  <c r="G105" i="2"/>
  <c r="G139" i="2"/>
  <c r="G176" i="2"/>
  <c r="G482" i="2"/>
  <c r="G2" i="2"/>
  <c r="G44" i="2"/>
  <c r="G129" i="2"/>
  <c r="G136" i="2"/>
  <c r="G157" i="2"/>
  <c r="G166" i="2"/>
  <c r="G181" i="2"/>
  <c r="G186" i="2"/>
  <c r="G193" i="2"/>
  <c r="G212" i="2"/>
  <c r="G217" i="2"/>
  <c r="G367" i="2"/>
  <c r="G380" i="2"/>
  <c r="G388" i="2"/>
  <c r="G417" i="2"/>
  <c r="G419" i="2"/>
  <c r="G426" i="2"/>
  <c r="G441" i="2"/>
  <c r="G529" i="2"/>
  <c r="G17" i="2"/>
  <c r="G59" i="2"/>
  <c r="G121" i="2"/>
  <c r="G192" i="2"/>
  <c r="G229" i="2"/>
  <c r="G499" i="2"/>
  <c r="G536" i="2"/>
  <c r="G544" i="2"/>
  <c r="G575" i="2"/>
  <c r="G581" i="2"/>
  <c r="G13" i="2"/>
  <c r="G16" i="2"/>
  <c r="G130" i="2"/>
  <c r="G134" i="2"/>
  <c r="G172" i="2"/>
  <c r="G175" i="2"/>
  <c r="G191" i="2"/>
  <c r="G227" i="2"/>
  <c r="G279" i="2"/>
  <c r="G303" i="2"/>
  <c r="G326" i="2"/>
  <c r="G515" i="2"/>
  <c r="G556" i="2"/>
  <c r="G24" i="2"/>
  <c r="G67" i="2"/>
  <c r="G124" i="2"/>
  <c r="G180" i="2"/>
  <c r="G183" i="2"/>
  <c r="G210" i="2"/>
  <c r="G248" i="2"/>
  <c r="G272" i="2"/>
  <c r="G298" i="2"/>
  <c r="G315" i="2"/>
  <c r="G354" i="2"/>
  <c r="G366" i="2"/>
  <c r="G416" i="2"/>
  <c r="G452" i="2"/>
  <c r="G480" i="2"/>
  <c r="G488" i="2"/>
  <c r="G508" i="2"/>
  <c r="G557" i="2"/>
  <c r="G578" i="2"/>
  <c r="G80" i="2"/>
  <c r="G81" i="2"/>
  <c r="G137" i="2"/>
  <c r="G155" i="2"/>
  <c r="G202" i="2"/>
  <c r="G273" i="2"/>
  <c r="G319" i="2"/>
  <c r="G381" i="2"/>
  <c r="G484" i="2"/>
  <c r="G485" i="2"/>
  <c r="G496" i="2"/>
  <c r="G509" i="2"/>
  <c r="G522" i="2"/>
  <c r="G560" i="2"/>
  <c r="G576" i="2"/>
  <c r="G25" i="2"/>
  <c r="G93" i="2"/>
  <c r="G99" i="2"/>
  <c r="G118" i="2"/>
  <c r="G142" i="2"/>
  <c r="G145" i="2"/>
  <c r="G185" i="2"/>
  <c r="G188" i="2"/>
  <c r="G260" i="2"/>
  <c r="G261" i="2"/>
  <c r="G318" i="2"/>
  <c r="G324" i="2"/>
  <c r="G339" i="2"/>
  <c r="G343" i="2"/>
  <c r="G462" i="2"/>
  <c r="G471" i="2"/>
  <c r="G533" i="2"/>
  <c r="G534" i="2"/>
  <c r="G561" i="2"/>
  <c r="G583" i="2"/>
  <c r="G5" i="2"/>
  <c r="G14" i="2"/>
  <c r="G15" i="2"/>
  <c r="G35" i="2"/>
  <c r="G46" i="2"/>
  <c r="G63" i="2"/>
  <c r="G89" i="2"/>
  <c r="G96" i="2"/>
  <c r="G103" i="2"/>
  <c r="G152" i="2"/>
  <c r="G194" i="2"/>
  <c r="G213" i="2"/>
  <c r="G256" i="2"/>
  <c r="G283" i="2"/>
  <c r="G320" i="2"/>
  <c r="G348" i="2"/>
  <c r="G365" i="2"/>
  <c r="G368" i="2"/>
  <c r="G372" i="2"/>
  <c r="G401" i="2"/>
  <c r="G404" i="2"/>
  <c r="G410" i="2"/>
  <c r="G428" i="2"/>
  <c r="G434" i="2"/>
  <c r="G439" i="2"/>
  <c r="G451" i="2"/>
  <c r="G479" i="2"/>
  <c r="G510" i="2"/>
  <c r="G570" i="2"/>
  <c r="G584" i="2"/>
  <c r="G9" i="2"/>
  <c r="G18" i="2"/>
  <c r="G42" i="2"/>
  <c r="G55" i="2"/>
  <c r="G88" i="2"/>
  <c r="G141" i="2"/>
  <c r="G171" i="2"/>
  <c r="G208" i="2"/>
  <c r="G310" i="2"/>
  <c r="G284" i="2"/>
  <c r="G456" i="2"/>
  <c r="G497" i="2"/>
  <c r="G513" i="2"/>
  <c r="G516" i="2"/>
  <c r="G552" i="2"/>
  <c r="G554" i="2"/>
  <c r="G107" i="2"/>
  <c r="G169" i="2"/>
  <c r="G218" i="2"/>
  <c r="G274" i="2"/>
  <c r="G241" i="2"/>
  <c r="G295" i="2"/>
  <c r="G345" i="2"/>
  <c r="G351" i="2"/>
  <c r="G449" i="2"/>
  <c r="G478" i="2"/>
  <c r="G514" i="2"/>
  <c r="G543" i="2"/>
  <c r="G564" i="2"/>
  <c r="G10" i="2"/>
  <c r="G71" i="2"/>
  <c r="G85" i="2"/>
  <c r="G92" i="2"/>
  <c r="G127" i="2"/>
  <c r="G164" i="2"/>
  <c r="G203" i="2"/>
  <c r="G204" i="2"/>
  <c r="G209" i="2"/>
  <c r="G259" i="2"/>
  <c r="G268" i="2"/>
  <c r="G322" i="2"/>
  <c r="G335" i="2"/>
  <c r="G373" i="2"/>
  <c r="G391" i="2"/>
  <c r="G422" i="2"/>
  <c r="G432" i="2"/>
  <c r="G476" i="2"/>
  <c r="G492" i="2"/>
  <c r="G500" i="2"/>
  <c r="G511" i="2"/>
  <c r="G550" i="2"/>
  <c r="G558" i="2"/>
  <c r="G580" i="2"/>
  <c r="G33" i="2"/>
  <c r="G61" i="2"/>
  <c r="G68" i="2"/>
  <c r="G101" i="2"/>
  <c r="G114" i="2"/>
  <c r="G196" i="2"/>
  <c r="G199" i="2"/>
  <c r="G226" i="2"/>
  <c r="G267" i="2"/>
  <c r="G311" i="2"/>
  <c r="G313" i="2"/>
  <c r="G378" i="2"/>
  <c r="G406" i="2"/>
  <c r="G413" i="2"/>
  <c r="G481" i="2"/>
  <c r="G517" i="2"/>
  <c r="G562" i="2"/>
  <c r="G577" i="2"/>
  <c r="G6" i="2"/>
  <c r="G23" i="2"/>
  <c r="G32" i="2"/>
  <c r="G52" i="2"/>
  <c r="G70" i="2"/>
  <c r="G83" i="2"/>
  <c r="G91" i="2"/>
  <c r="G109" i="2"/>
  <c r="G160" i="2"/>
  <c r="G179" i="2"/>
  <c r="G214" i="2"/>
  <c r="G242" i="2"/>
  <c r="G297" i="2"/>
  <c r="G302" i="2"/>
  <c r="G309" i="2"/>
  <c r="G340" i="2"/>
  <c r="G342" i="2"/>
  <c r="G379" i="2"/>
  <c r="G399" i="2"/>
  <c r="G411" i="2"/>
  <c r="G438" i="2"/>
  <c r="G461" i="2"/>
  <c r="G464" i="2"/>
  <c r="G487" i="2"/>
  <c r="G489" i="2"/>
  <c r="G507" i="2"/>
  <c r="G540" i="2"/>
  <c r="G542" i="2"/>
  <c r="G549" i="2"/>
  <c r="G555" i="2"/>
  <c r="G47" i="2"/>
  <c r="G53" i="2"/>
  <c r="G56" i="2"/>
  <c r="G76" i="2"/>
  <c r="G108" i="2"/>
  <c r="G167" i="2"/>
  <c r="G170" i="2"/>
  <c r="G232" i="2"/>
  <c r="G233" i="2"/>
  <c r="G239" i="2"/>
  <c r="G255" i="2"/>
  <c r="G296" i="2"/>
  <c r="G301" i="2"/>
  <c r="G304" i="2"/>
  <c r="G327" i="2"/>
  <c r="G418" i="2"/>
  <c r="G420" i="2"/>
  <c r="G423" i="2"/>
  <c r="G425" i="2"/>
  <c r="G469" i="2"/>
  <c r="G494" i="2"/>
  <c r="G502" i="2"/>
  <c r="G532" i="2"/>
  <c r="G551" i="2"/>
  <c r="G553" i="2"/>
  <c r="G563" i="2"/>
  <c r="G572" i="2"/>
  <c r="G573" i="2"/>
  <c r="G12" i="2"/>
  <c r="G37" i="2"/>
  <c r="G38" i="2"/>
  <c r="G39" i="2"/>
  <c r="G51" i="2"/>
  <c r="G90" i="2"/>
  <c r="G94" i="2"/>
  <c r="G97" i="2"/>
  <c r="G117" i="2"/>
  <c r="G135" i="2"/>
  <c r="G150" i="2"/>
  <c r="G177" i="2"/>
  <c r="G201" i="2"/>
  <c r="G236" i="2"/>
  <c r="G258" i="2"/>
  <c r="G276" i="2"/>
  <c r="G290" i="2"/>
  <c r="G291" i="2"/>
  <c r="G306" i="2"/>
  <c r="G308" i="2"/>
  <c r="G328" i="2"/>
  <c r="G394" i="2"/>
  <c r="G472" i="2"/>
  <c r="G539" i="2"/>
  <c r="G548" i="2"/>
  <c r="G567" i="2"/>
  <c r="G60" i="2"/>
  <c r="G75" i="2"/>
  <c r="G84" i="2"/>
  <c r="G113" i="2"/>
  <c r="G146" i="2"/>
  <c r="G221" i="2"/>
  <c r="G224" i="2"/>
  <c r="G234" i="2"/>
  <c r="G288" i="2"/>
  <c r="G353" i="2"/>
  <c r="G361" i="2"/>
  <c r="G397" i="2"/>
  <c r="G409" i="2"/>
  <c r="G435" i="2"/>
  <c r="G436" i="2"/>
  <c r="G453" i="2"/>
  <c r="G518" i="2"/>
  <c r="G571" i="2"/>
  <c r="G26" i="2"/>
  <c r="G30" i="2"/>
  <c r="G54" i="2"/>
  <c r="G74" i="2"/>
  <c r="G78" i="2"/>
  <c r="G79" i="2"/>
  <c r="G111" i="2"/>
  <c r="G112" i="2"/>
  <c r="G153" i="2"/>
  <c r="G187" i="2"/>
  <c r="G200" i="2"/>
  <c r="G207" i="2"/>
  <c r="G225" i="2"/>
  <c r="G243" i="2"/>
  <c r="G262" i="2"/>
  <c r="G280" i="2"/>
  <c r="G287" i="2"/>
  <c r="G292" i="2"/>
  <c r="G305" i="2"/>
  <c r="G331" i="2"/>
  <c r="G333" i="2"/>
  <c r="G427" i="2"/>
  <c r="G503" i="2"/>
  <c r="G547" i="2"/>
  <c r="G559" i="2"/>
  <c r="G7" i="2"/>
  <c r="G11" i="2"/>
  <c r="G19" i="2"/>
  <c r="G20" i="2"/>
  <c r="G21" i="2"/>
  <c r="G36" i="2"/>
  <c r="G40" i="2"/>
  <c r="G66" i="2"/>
  <c r="G263" i="2"/>
  <c r="G87" i="2"/>
  <c r="G126" i="2"/>
  <c r="G184" i="2"/>
  <c r="G195" i="2"/>
  <c r="G198" i="2"/>
  <c r="G285" i="2"/>
  <c r="G383" i="2"/>
  <c r="G392" i="2"/>
  <c r="G445" i="2"/>
  <c r="G446" i="2"/>
  <c r="G490" i="2"/>
  <c r="G506" i="2"/>
  <c r="G526" i="2"/>
  <c r="G545" i="2"/>
  <c r="G546" i="2"/>
  <c r="G31" i="2"/>
  <c r="G41" i="2"/>
  <c r="G72" i="2"/>
  <c r="G73" i="2"/>
  <c r="G110" i="2"/>
  <c r="G216" i="2"/>
  <c r="G254" i="2"/>
  <c r="G281" i="2"/>
  <c r="G323" i="2"/>
  <c r="G325" i="2"/>
  <c r="G330" i="2"/>
  <c r="G362" i="2"/>
  <c r="G389" i="2"/>
  <c r="G412" i="2"/>
  <c r="G450" i="2"/>
  <c r="G468" i="2"/>
  <c r="G470" i="2"/>
  <c r="G491" i="2"/>
  <c r="G495" i="2"/>
  <c r="G161" i="2"/>
  <c r="G174" i="2"/>
  <c r="G223" i="2"/>
  <c r="G249" i="2"/>
  <c r="G265" i="2"/>
  <c r="G266" i="2"/>
  <c r="G277" i="2"/>
  <c r="G278" i="2"/>
  <c r="G321" i="2"/>
  <c r="G336" i="2"/>
  <c r="G355" i="2"/>
  <c r="G357" i="2"/>
  <c r="G358" i="2"/>
  <c r="G363" i="2"/>
  <c r="G371" i="2"/>
  <c r="G377" i="2"/>
  <c r="G448" i="2"/>
  <c r="G459" i="2"/>
  <c r="G501" i="2"/>
  <c r="G4" i="2"/>
  <c r="G48" i="2"/>
  <c r="G49" i="2"/>
  <c r="G65" i="2"/>
  <c r="G100" i="2"/>
  <c r="G119" i="2"/>
  <c r="G128" i="2"/>
  <c r="G144" i="2"/>
  <c r="G148" i="2"/>
  <c r="G151" i="2"/>
  <c r="G162" i="2"/>
  <c r="G189" i="2"/>
  <c r="G190" i="2"/>
  <c r="G240" i="2"/>
  <c r="G247" i="2"/>
  <c r="G251" i="2"/>
  <c r="G269" i="2"/>
  <c r="G299" i="2"/>
  <c r="G317" i="2"/>
  <c r="G338" i="2"/>
  <c r="G349" i="2"/>
  <c r="G360" i="2"/>
  <c r="G376" i="2"/>
  <c r="G457" i="2"/>
  <c r="G458" i="2"/>
  <c r="G467" i="2"/>
  <c r="G531" i="2"/>
  <c r="G541" i="2"/>
  <c r="G45" i="2"/>
  <c r="G58" i="2"/>
  <c r="G168" i="2"/>
  <c r="G173" i="2"/>
  <c r="G228" i="2"/>
  <c r="G252" i="2"/>
  <c r="G253" i="2"/>
  <c r="G271" i="2"/>
  <c r="G329" i="2"/>
  <c r="G344" i="2"/>
  <c r="G395" i="2"/>
  <c r="G407" i="2"/>
  <c r="G408" i="2"/>
  <c r="G433" i="2"/>
  <c r="G460" i="2"/>
  <c r="G463" i="2"/>
  <c r="G477" i="2"/>
  <c r="G520" i="2"/>
  <c r="G521" i="2"/>
  <c r="G585" i="2"/>
  <c r="G133" i="2"/>
  <c r="G143" i="2"/>
  <c r="G154" i="2"/>
  <c r="G158" i="2"/>
  <c r="G178" i="2"/>
  <c r="G222" i="2"/>
  <c r="G294" i="2"/>
  <c r="G312" i="2"/>
  <c r="G314" i="2"/>
  <c r="G316" i="2"/>
  <c r="G347" i="2"/>
  <c r="G356" i="2"/>
  <c r="G359" i="2"/>
  <c r="G387" i="2"/>
  <c r="G402" i="2"/>
  <c r="G403" i="2"/>
  <c r="G430" i="2"/>
  <c r="G440" i="2"/>
  <c r="G455" i="2"/>
  <c r="G465" i="2"/>
  <c r="G505" i="2"/>
  <c r="G43" i="2"/>
  <c r="G165" i="2"/>
  <c r="G264" i="2"/>
  <c r="G289" i="2"/>
  <c r="G337" i="2"/>
  <c r="G398" i="2"/>
  <c r="G400" i="2"/>
  <c r="G443" i="2"/>
  <c r="G474" i="2"/>
  <c r="G524" i="2"/>
  <c r="G535" i="2"/>
  <c r="G538" i="2"/>
  <c r="G62" i="2"/>
  <c r="G77" i="2"/>
  <c r="G102" i="2"/>
  <c r="G131" i="2"/>
  <c r="G206" i="2"/>
  <c r="G230" i="2"/>
  <c r="G237" i="2"/>
  <c r="G238" i="2"/>
  <c r="G364" i="2"/>
  <c r="G530" i="2"/>
  <c r="G57" i="2"/>
  <c r="G275" i="2"/>
  <c r="G346" i="2"/>
  <c r="G374" i="2"/>
  <c r="G431" i="2"/>
  <c r="G444" i="2"/>
  <c r="G523" i="2"/>
  <c r="G528" i="2"/>
  <c r="G569" i="2"/>
  <c r="G582" i="2"/>
  <c r="G50" i="2"/>
  <c r="G64" i="2"/>
  <c r="G82" i="2"/>
  <c r="G115" i="2"/>
  <c r="G235" i="2"/>
  <c r="G245" i="2"/>
  <c r="G370" i="2"/>
  <c r="G375" i="2"/>
  <c r="G220" i="2"/>
  <c r="G473" i="2"/>
  <c r="G527" i="2"/>
  <c r="G22" i="2"/>
  <c r="G219" i="2"/>
  <c r="G282" i="2"/>
  <c r="G475" i="2"/>
  <c r="G421" i="2"/>
  <c r="G95" i="2"/>
  <c r="G300" i="2"/>
  <c r="G369" i="2"/>
  <c r="G3" i="2"/>
  <c r="G132" i="2"/>
  <c r="G250" i="2"/>
  <c r="G385" i="2"/>
  <c r="G525" i="2"/>
  <c r="G116" i="2"/>
  <c r="G120" i="2"/>
  <c r="G69" i="2"/>
  <c r="G429" i="2"/>
  <c r="G579" i="2"/>
  <c r="G414" i="2"/>
  <c r="G147" i="2"/>
  <c r="G123" i="2"/>
  <c r="D593" i="2"/>
  <c r="D592" i="2"/>
  <c r="D591" i="2"/>
  <c r="D586" i="2"/>
  <c r="B121" i="3"/>
  <c r="B120" i="3"/>
  <c r="B11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Netflix Movies" description="Connection to the 'Netflix Movies' query in the workbook." type="5" refreshedVersion="7" background="1" saveData="1">
    <dbPr connection="Provider=Microsoft.Mashup.OleDb.1;Data Source=$Workbook$;Location=&quot;Netflix Movies&quot;;Extended Properties=&quot;&quot;" command="SELECT * FROM [Netflix Movies]"/>
  </connection>
</connections>
</file>

<file path=xl/sharedStrings.xml><?xml version="1.0" encoding="utf-8"?>
<sst xmlns="http://schemas.openxmlformats.org/spreadsheetml/2006/main" count="4225" uniqueCount="1152">
  <si>
    <t>Title</t>
  </si>
  <si>
    <t>Genre</t>
  </si>
  <si>
    <t>Premiere</t>
  </si>
  <si>
    <t>Runtime</t>
  </si>
  <si>
    <t>Language</t>
  </si>
  <si>
    <t>Enter the Anime</t>
  </si>
  <si>
    <t>Documentary</t>
  </si>
  <si>
    <t>August 5, 2019</t>
  </si>
  <si>
    <t>English/Japanese</t>
  </si>
  <si>
    <t>Dark Forces</t>
  </si>
  <si>
    <t>Thriller</t>
  </si>
  <si>
    <t>August 21, 2020</t>
  </si>
  <si>
    <t>Spanish</t>
  </si>
  <si>
    <t>The App</t>
  </si>
  <si>
    <t>Science fiction/Drama</t>
  </si>
  <si>
    <t>December 26, 2019</t>
  </si>
  <si>
    <t>Italian</t>
  </si>
  <si>
    <t>The Open House</t>
  </si>
  <si>
    <t>Horror thriller</t>
  </si>
  <si>
    <t>January 19, 2018</t>
  </si>
  <si>
    <t>English</t>
  </si>
  <si>
    <t>Kaali Khuhi</t>
  </si>
  <si>
    <t>Mystery</t>
  </si>
  <si>
    <t>October 30, 2020</t>
  </si>
  <si>
    <t>Hindi</t>
  </si>
  <si>
    <t>Drive</t>
  </si>
  <si>
    <t>Action</t>
  </si>
  <si>
    <t>November 1, 2019</t>
  </si>
  <si>
    <t>Leyla Everlasting</t>
  </si>
  <si>
    <t>Comedy</t>
  </si>
  <si>
    <t>December 4, 2020</t>
  </si>
  <si>
    <t>Turkish</t>
  </si>
  <si>
    <t>The Last Days of American Crime</t>
  </si>
  <si>
    <t>Heist film/Thriller</t>
  </si>
  <si>
    <t>June 5, 2020</t>
  </si>
  <si>
    <t>Paradox</t>
  </si>
  <si>
    <t>Musical/Western/Fantasy</t>
  </si>
  <si>
    <t>March 23, 2018</t>
  </si>
  <si>
    <t>Sardar Ka Grandson</t>
  </si>
  <si>
    <t>May 18, 2021</t>
  </si>
  <si>
    <t>Searching for Sheela</t>
  </si>
  <si>
    <t>April 22, 2021</t>
  </si>
  <si>
    <t>The Call</t>
  </si>
  <si>
    <t>Drama</t>
  </si>
  <si>
    <t>November 27, 2020</t>
  </si>
  <si>
    <t>Korean</t>
  </si>
  <si>
    <t>Whipped</t>
  </si>
  <si>
    <t>Romantic comedy</t>
  </si>
  <si>
    <t>September 18, 2020</t>
  </si>
  <si>
    <t>Indonesian</t>
  </si>
  <si>
    <t>All Because of You</t>
  </si>
  <si>
    <t>Action comedy</t>
  </si>
  <si>
    <t>October 1, 2020</t>
  </si>
  <si>
    <t>Malay</t>
  </si>
  <si>
    <t>Mercy</t>
  </si>
  <si>
    <t>November 22, 2016</t>
  </si>
  <si>
    <t>After the Raid</t>
  </si>
  <si>
    <t>December 19, 2019</t>
  </si>
  <si>
    <t>Ghost Stories</t>
  </si>
  <si>
    <t>Horror anthology</t>
  </si>
  <si>
    <t>January 1, 2020</t>
  </si>
  <si>
    <t>The Last Thing He Wanted</t>
  </si>
  <si>
    <t>Political thriller</t>
  </si>
  <si>
    <t>February 21, 2020</t>
  </si>
  <si>
    <t>What Happened to Mr. Cha?</t>
  </si>
  <si>
    <t>January 1, 2021</t>
  </si>
  <si>
    <t>Death Note</t>
  </si>
  <si>
    <t>August 25, 2017</t>
  </si>
  <si>
    <t>Hello Privilege. It's Me, Chelsea</t>
  </si>
  <si>
    <t>September 13, 2019</t>
  </si>
  <si>
    <t>Secret Obsession</t>
  </si>
  <si>
    <t>July 18, 2019</t>
  </si>
  <si>
    <t>Sextuplets</t>
  </si>
  <si>
    <t>August 16, 2019</t>
  </si>
  <si>
    <t>The Girl on the Train</t>
  </si>
  <si>
    <t>February 26, 2021</t>
  </si>
  <si>
    <t>Thunder Force</t>
  </si>
  <si>
    <t>Superhero-Comedy</t>
  </si>
  <si>
    <t>April 9, 2021</t>
  </si>
  <si>
    <t>Fatal Affair</t>
  </si>
  <si>
    <t>July 16, 2020</t>
  </si>
  <si>
    <t>Just Say Yes</t>
  </si>
  <si>
    <t>April 2, 2021</t>
  </si>
  <si>
    <t>Dutch</t>
  </si>
  <si>
    <t>Seriously Single</t>
  </si>
  <si>
    <t>July 31, 2020</t>
  </si>
  <si>
    <t>The Misadventures of Hedi and Cokeman</t>
  </si>
  <si>
    <t>February 10, 2021</t>
  </si>
  <si>
    <t>French</t>
  </si>
  <si>
    <t>5 Star Christmas</t>
  </si>
  <si>
    <t>December 7, 2018</t>
  </si>
  <si>
    <t>After Maria</t>
  </si>
  <si>
    <t>May 24, 2019</t>
  </si>
  <si>
    <t>English/Spanish</t>
  </si>
  <si>
    <t>I Am the Pretty Thing That Lives in the House</t>
  </si>
  <si>
    <t>Horror</t>
  </si>
  <si>
    <t>October 28, 2016</t>
  </si>
  <si>
    <t>Paris Is Us</t>
  </si>
  <si>
    <t>Romance drama</t>
  </si>
  <si>
    <t>February 22, 2019</t>
  </si>
  <si>
    <t>Porta dos Fundos: The First Temptation of Christ</t>
  </si>
  <si>
    <t>December 3, 2019</t>
  </si>
  <si>
    <t>Portuguese</t>
  </si>
  <si>
    <t>Rattlesnake</t>
  </si>
  <si>
    <t>October 25, 2019</t>
  </si>
  <si>
    <t>The Players</t>
  </si>
  <si>
    <t>July 15, 2020</t>
  </si>
  <si>
    <t>We Are One</t>
  </si>
  <si>
    <t>July 14, 2020</t>
  </si>
  <si>
    <t>Finding Agnes</t>
  </si>
  <si>
    <t>November 30, 2020</t>
  </si>
  <si>
    <t>Filipino</t>
  </si>
  <si>
    <t>IO</t>
  </si>
  <si>
    <t>January 18, 2019</t>
  </si>
  <si>
    <t>Sentinelle</t>
  </si>
  <si>
    <t>March 5, 2021</t>
  </si>
  <si>
    <t>Sol Levante</t>
  </si>
  <si>
    <t>Anime / Short</t>
  </si>
  <si>
    <t>April 2, 2020</t>
  </si>
  <si>
    <t>The Binding</t>
  </si>
  <si>
    <t>October 2, 2020</t>
  </si>
  <si>
    <t>We Can Be Heroes</t>
  </si>
  <si>
    <t>Superhero</t>
  </si>
  <si>
    <t>December 25, 2020</t>
  </si>
  <si>
    <t>Christmas Crossfire</t>
  </si>
  <si>
    <t>German</t>
  </si>
  <si>
    <t>Coin Heist</t>
  </si>
  <si>
    <t>Heist</t>
  </si>
  <si>
    <t>January 6, 2017</t>
  </si>
  <si>
    <t>Mrs. Serial Killer</t>
  </si>
  <si>
    <t>May 1, 2020</t>
  </si>
  <si>
    <t>Nobody Sleeps in the Woods Tonight</t>
  </si>
  <si>
    <t>October 28, 2020</t>
  </si>
  <si>
    <t>Polish</t>
  </si>
  <si>
    <t>Take the 10</t>
  </si>
  <si>
    <t>January 20, 2017</t>
  </si>
  <si>
    <t>The Main Event</t>
  </si>
  <si>
    <t>April 10, 2020</t>
  </si>
  <si>
    <t>The Ridiculous 6</t>
  </si>
  <si>
    <t>Western</t>
  </si>
  <si>
    <t>December 11, 2015</t>
  </si>
  <si>
    <t>Earth and Blood</t>
  </si>
  <si>
    <t>April 17, 2020</t>
  </si>
  <si>
    <t>Fearless</t>
  </si>
  <si>
    <t>Animation/Superhero</t>
  </si>
  <si>
    <t>August 14, 2020</t>
  </si>
  <si>
    <t>Holiday Rush</t>
  </si>
  <si>
    <t>Family film</t>
  </si>
  <si>
    <t>November 28, 2019</t>
  </si>
  <si>
    <t>The Day of the Lord</t>
  </si>
  <si>
    <t>Airplane Mode</t>
  </si>
  <si>
    <t>January 23, 2020</t>
  </si>
  <si>
    <t>How It Ends</t>
  </si>
  <si>
    <t>Action-thriller</t>
  </si>
  <si>
    <t>July 13, 2018</t>
  </si>
  <si>
    <t>Love Like the Falling Rain</t>
  </si>
  <si>
    <t>October 15, 2020</t>
  </si>
  <si>
    <t>Rebirth</t>
  </si>
  <si>
    <t>July 15, 2016</t>
  </si>
  <si>
    <t>Squared Love</t>
  </si>
  <si>
    <t>February 11, 2021</t>
  </si>
  <si>
    <t>Cadaver</t>
  </si>
  <si>
    <t>October 22, 2020</t>
  </si>
  <si>
    <t>Norwegian</t>
  </si>
  <si>
    <t>Clinical</t>
  </si>
  <si>
    <t>January 13, 2017</t>
  </si>
  <si>
    <t>Coffee &amp; Kareem</t>
  </si>
  <si>
    <t>April 3, 2020</t>
  </si>
  <si>
    <t>Dude</t>
  </si>
  <si>
    <t>Teen comedy-drama</t>
  </si>
  <si>
    <t>April 20, 2018</t>
  </si>
  <si>
    <t>Geez &amp; Ann</t>
  </si>
  <si>
    <t>Romantic drama</t>
  </si>
  <si>
    <t>February 25, 2021</t>
  </si>
  <si>
    <t>The Larva Island Movie</t>
  </si>
  <si>
    <t>Animation</t>
  </si>
  <si>
    <t>July 23, 2020</t>
  </si>
  <si>
    <t>#REALITYHIGH</t>
  </si>
  <si>
    <t>September 8, 2017</t>
  </si>
  <si>
    <t>American Factory: A Conversation with the Obamas</t>
  </si>
  <si>
    <t>Aftershow / Interview</t>
  </si>
  <si>
    <t>August 21, 2019</t>
  </si>
  <si>
    <t>Desperados</t>
  </si>
  <si>
    <t>July 3, 2020</t>
  </si>
  <si>
    <t>Dolly Parton's Christmas on the Square</t>
  </si>
  <si>
    <t>Christmas musical</t>
  </si>
  <si>
    <t>November 22, 2020</t>
  </si>
  <si>
    <t>Father of the Year</t>
  </si>
  <si>
    <t>July 20, 2018</t>
  </si>
  <si>
    <t>Firebrand</t>
  </si>
  <si>
    <t>Marathi</t>
  </si>
  <si>
    <t>Ghost Lab</t>
  </si>
  <si>
    <t>May 26, 2021</t>
  </si>
  <si>
    <t>Thai</t>
  </si>
  <si>
    <t>Girlfriend's Day</t>
  </si>
  <si>
    <t>February 14, 2017</t>
  </si>
  <si>
    <t>Handsome: A Netflix Mystery Movie</t>
  </si>
  <si>
    <t>May 5, 2017</t>
  </si>
  <si>
    <t>Hubie Halloween</t>
  </si>
  <si>
    <t>October 7, 2020</t>
  </si>
  <si>
    <t>Ibiza</t>
  </si>
  <si>
    <t>May 25, 2018</t>
  </si>
  <si>
    <t>Rim of the World</t>
  </si>
  <si>
    <t>Science fiction adventure</t>
  </si>
  <si>
    <t>Sandy Wexler</t>
  </si>
  <si>
    <t>April 14, 2017</t>
  </si>
  <si>
    <t>See You Yesterday</t>
  </si>
  <si>
    <t>Science fiction</t>
  </si>
  <si>
    <t>May 17, 2019</t>
  </si>
  <si>
    <t>Still Laugh-In: The Stars Celebrate</t>
  </si>
  <si>
    <t>Variety show</t>
  </si>
  <si>
    <t>May 14, 2019</t>
  </si>
  <si>
    <t>Strip Down, Rise Up</t>
  </si>
  <si>
    <t>February 5, 2021</t>
  </si>
  <si>
    <t>Tall Girl</t>
  </si>
  <si>
    <t>Comedy-drama</t>
  </si>
  <si>
    <t>The Beast</t>
  </si>
  <si>
    <t>The Week Of</t>
  </si>
  <si>
    <t>April 27, 2018</t>
  </si>
  <si>
    <t>A Christmas Prince: The Royal Wedding</t>
  </si>
  <si>
    <t>November 30, 2018</t>
  </si>
  <si>
    <t>Back to School</t>
  </si>
  <si>
    <t>August 30, 2019</t>
  </si>
  <si>
    <t>Dangerous Lies</t>
  </si>
  <si>
    <t>April 30, 2020</t>
  </si>
  <si>
    <t>Gunjan Saxena: The Kargil Girl</t>
  </si>
  <si>
    <t>August 12, 2020</t>
  </si>
  <si>
    <t>Intuition</t>
  </si>
  <si>
    <t>May 28, 2020</t>
  </si>
  <si>
    <t>The Most Assassinated Woman in the World</t>
  </si>
  <si>
    <t>September 7, 2018</t>
  </si>
  <si>
    <t>Things Heard &amp; Seen</t>
  </si>
  <si>
    <t>April 29, 2021</t>
  </si>
  <si>
    <t>To Each, Her Own</t>
  </si>
  <si>
    <t>June 24, 2018</t>
  </si>
  <si>
    <t>Who Would You Take to a Deserted Island?</t>
  </si>
  <si>
    <t>April 12, 2019</t>
  </si>
  <si>
    <t>XOXO</t>
  </si>
  <si>
    <t>August 26, 2016</t>
  </si>
  <si>
    <t>A Babysitter's Guide to Monster Hunting</t>
  </si>
  <si>
    <t>Comedy/Fantasy/Family</t>
  </si>
  <si>
    <t>A Christmas Prince: The Royal Baby</t>
  </si>
  <si>
    <t>December 5, 2019</t>
  </si>
  <si>
    <t>Despite Everything</t>
  </si>
  <si>
    <t>May 3, 2019</t>
  </si>
  <si>
    <t>Dolly Kitty and Those Twinkling Stars</t>
  </si>
  <si>
    <t>Freaks: You're One of Us</t>
  </si>
  <si>
    <t>Supernatural drama</t>
  </si>
  <si>
    <t>September 2, 2020</t>
  </si>
  <si>
    <t>Game Over, Man!</t>
  </si>
  <si>
    <t>Action/Comedy</t>
  </si>
  <si>
    <t>Guilty</t>
  </si>
  <si>
    <t>March 6, 2020</t>
  </si>
  <si>
    <t>In the Tall Grass</t>
  </si>
  <si>
    <t>October 4, 2019</t>
  </si>
  <si>
    <t>Madame Claude</t>
  </si>
  <si>
    <t>Naked</t>
  </si>
  <si>
    <t>August 11, 2017</t>
  </si>
  <si>
    <t>Outside the Wire</t>
  </si>
  <si>
    <t>Action/Science fiction</t>
  </si>
  <si>
    <t>January 15, 2021</t>
  </si>
  <si>
    <t>The Princess Switch: Switched Again</t>
  </si>
  <si>
    <t>November 19, 2020</t>
  </si>
  <si>
    <t>Under the Riccione Sun</t>
  </si>
  <si>
    <t>Romantic teenage drama</t>
  </si>
  <si>
    <t>July 1, 2020</t>
  </si>
  <si>
    <t>A Very Murray Christmas</t>
  </si>
  <si>
    <t>Comedy / Musical</t>
  </si>
  <si>
    <t>December 4, 2015</t>
  </si>
  <si>
    <t>Been So Long</t>
  </si>
  <si>
    <t>Musical</t>
  </si>
  <si>
    <t>October 26, 2018</t>
  </si>
  <si>
    <t>Dead Kids</t>
  </si>
  <si>
    <t>December 1, 2019</t>
  </si>
  <si>
    <t>Get the Grift</t>
  </si>
  <si>
    <t>April 28, 2021</t>
  </si>
  <si>
    <t>Ghosts of Sugar Land</t>
  </si>
  <si>
    <t>October 16. 2019</t>
  </si>
  <si>
    <t>House Arrest</t>
  </si>
  <si>
    <t>November 15, 2019</t>
  </si>
  <si>
    <t>Kevin Hart's Guide to Black History</t>
  </si>
  <si>
    <t>February 8, 2019</t>
  </si>
  <si>
    <t>Love Wedding Repeat</t>
  </si>
  <si>
    <t>Mute</t>
  </si>
  <si>
    <t>Science fiction/Mystery</t>
  </si>
  <si>
    <t>February 23, 2018</t>
  </si>
  <si>
    <t>Ã’lÃ²t?rÃ©</t>
  </si>
  <si>
    <t>Crime drama</t>
  </si>
  <si>
    <t>Red Dot</t>
  </si>
  <si>
    <t>Swedish</t>
  </si>
  <si>
    <t>Ride or Die</t>
  </si>
  <si>
    <t>Psychological thriller drama</t>
  </si>
  <si>
    <t>April 15, 2021</t>
  </si>
  <si>
    <t>Japanese</t>
  </si>
  <si>
    <t>Step Sisters</t>
  </si>
  <si>
    <t>The Cloverfield Paradox</t>
  </si>
  <si>
    <t>February 4, 2018</t>
  </si>
  <si>
    <t>The Knight Before Christmas</t>
  </si>
  <si>
    <t>November 21, 2019</t>
  </si>
  <si>
    <t>The Legacy of a Whitetail Deer Hunter</t>
  </si>
  <si>
    <t>Adventure/Comedy</t>
  </si>
  <si>
    <t>July 6, 2018</t>
  </si>
  <si>
    <t>The Package</t>
  </si>
  <si>
    <t>Black comedy</t>
  </si>
  <si>
    <t>August 10, 2018</t>
  </si>
  <si>
    <t>Unicorn Store</t>
  </si>
  <si>
    <t>April 5, 2019</t>
  </si>
  <si>
    <t>Wine Country</t>
  </si>
  <si>
    <t>May 10, 2019</t>
  </si>
  <si>
    <t>Bomb Scared</t>
  </si>
  <si>
    <t>October 12, 2017</t>
  </si>
  <si>
    <t>Spanish/Basque</t>
  </si>
  <si>
    <t>Brahman Naman</t>
  </si>
  <si>
    <t>July 7, 2016</t>
  </si>
  <si>
    <t>Double Dad</t>
  </si>
  <si>
    <t>Falling Inn Love</t>
  </si>
  <si>
    <t>August 29, 2019</t>
  </si>
  <si>
    <t>Hold the Dark</t>
  </si>
  <si>
    <t>September 28, 2018</t>
  </si>
  <si>
    <t>Love, Guaranteed</t>
  </si>
  <si>
    <t>September 3, 2020</t>
  </si>
  <si>
    <t>One-Way to Tomorrow</t>
  </si>
  <si>
    <t>Romance</t>
  </si>
  <si>
    <t>June 19, 2020</t>
  </si>
  <si>
    <t>Sarah Cooper: Everything's Fine</t>
  </si>
  <si>
    <t>October 27, 2020</t>
  </si>
  <si>
    <t>The Last Laugh</t>
  </si>
  <si>
    <t>January 11, 2019</t>
  </si>
  <si>
    <t>The Last Paradiso</t>
  </si>
  <si>
    <t>The Midnight Sky</t>
  </si>
  <si>
    <t>December 23, 2020</t>
  </si>
  <si>
    <t>The Paramedic</t>
  </si>
  <si>
    <t>September 16, 2020</t>
  </si>
  <si>
    <t>The Sleepover</t>
  </si>
  <si>
    <t>Vampires vs. the Bronx</t>
  </si>
  <si>
    <t>Horror comedy</t>
  </si>
  <si>
    <t>Why Did You Kill Me?</t>
  </si>
  <si>
    <t>April 14, 2021</t>
  </si>
  <si>
    <t>A Week Away</t>
  </si>
  <si>
    <t>Christian musical</t>
  </si>
  <si>
    <t>March 26, 2021</t>
  </si>
  <si>
    <t>Caught by a Wave</t>
  </si>
  <si>
    <t>Romantic teen drama</t>
  </si>
  <si>
    <t>March 25, 2021</t>
  </si>
  <si>
    <t>Christmas Inheritance</t>
  </si>
  <si>
    <t>December 15, 2017</t>
  </si>
  <si>
    <t>Dad Wanted</t>
  </si>
  <si>
    <t>Family</t>
  </si>
  <si>
    <t>September 11, 2020</t>
  </si>
  <si>
    <t>El Camino Christmas</t>
  </si>
  <si>
    <t>Dark comedy</t>
  </si>
  <si>
    <t>December 8, 2017</t>
  </si>
  <si>
    <t>Eli</t>
  </si>
  <si>
    <t>October 18, 2019</t>
  </si>
  <si>
    <t>Ginny Weds Sunny</t>
  </si>
  <si>
    <t>October 9, 2020</t>
  </si>
  <si>
    <t>Good Sam</t>
  </si>
  <si>
    <t>May 16, 2019</t>
  </si>
  <si>
    <t>Lionheart</t>
  </si>
  <si>
    <t>January 4, 2019</t>
  </si>
  <si>
    <t>Little Evil</t>
  </si>
  <si>
    <t>Comedy horror</t>
  </si>
  <si>
    <t>September 1, 2017</t>
  </si>
  <si>
    <t>One Take</t>
  </si>
  <si>
    <t>June 18, 2020</t>
  </si>
  <si>
    <t>Out of Many, One</t>
  </si>
  <si>
    <t>December 12, 2018</t>
  </si>
  <si>
    <t>Point Blank</t>
  </si>
  <si>
    <t>July 12, 2019</t>
  </si>
  <si>
    <t>Prime Time</t>
  </si>
  <si>
    <t>The Do-Over</t>
  </si>
  <si>
    <t>May 27, 2016</t>
  </si>
  <si>
    <t>The Holiday Calendar</t>
  </si>
  <si>
    <t>November 2, 2018</t>
  </si>
  <si>
    <t>The Woman in the Window</t>
  </si>
  <si>
    <t>Psychological thriller</t>
  </si>
  <si>
    <t>May 14, 2021</t>
  </si>
  <si>
    <t>The Wrong Missy</t>
  </si>
  <si>
    <t>May 13, 2020</t>
  </si>
  <si>
    <t>Velvet Buzzsaw</t>
  </si>
  <si>
    <t>February 1, 2019</t>
  </si>
  <si>
    <t>Yes Day</t>
  </si>
  <si>
    <t>March 12, 2021</t>
  </si>
  <si>
    <t>March 29, 2019</t>
  </si>
  <si>
    <t>A California Christmas</t>
  </si>
  <si>
    <t>December 14, 2020</t>
  </si>
  <si>
    <t>A Christmas Prince</t>
  </si>
  <si>
    <t>November 17, 2017</t>
  </si>
  <si>
    <t>All Day and a Night</t>
  </si>
  <si>
    <t>American Son</t>
  </si>
  <si>
    <t>Barry</t>
  </si>
  <si>
    <t>Biopic</t>
  </si>
  <si>
    <t>December 16, 2016</t>
  </si>
  <si>
    <t>Candy Jar</t>
  </si>
  <si>
    <t>Choked: Paisa Bolta Hai</t>
  </si>
  <si>
    <t>Class of '83</t>
  </si>
  <si>
    <t>Extinction</t>
  </si>
  <si>
    <t>Science fiction/Thriller</t>
  </si>
  <si>
    <t>July 27, 2018</t>
  </si>
  <si>
    <t>Happy Anniversary</t>
  </si>
  <si>
    <t>March 30, 2018</t>
  </si>
  <si>
    <t>I Am All Girls</t>
  </si>
  <si>
    <t>Let It Snow</t>
  </si>
  <si>
    <t>November 8, 2019</t>
  </si>
  <si>
    <t>Mascots</t>
  </si>
  <si>
    <t>Mockumentary</t>
  </si>
  <si>
    <t>October 13, 2016</t>
  </si>
  <si>
    <t>Operation Christmas Drop</t>
  </si>
  <si>
    <t>November 5, 2020</t>
  </si>
  <si>
    <t>Rajma Chawal</t>
  </si>
  <si>
    <t>Rich in Love</t>
  </si>
  <si>
    <t>Rising High</t>
  </si>
  <si>
    <t>Satire</t>
  </si>
  <si>
    <t>Rodney King</t>
  </si>
  <si>
    <t>One-man show</t>
  </si>
  <si>
    <t>April 28, 2017</t>
  </si>
  <si>
    <t>Sierra Burgess Is a Loser</t>
  </si>
  <si>
    <t>Romantic comedy-drama</t>
  </si>
  <si>
    <t>Small Crimes</t>
  </si>
  <si>
    <t>Special Correspondents</t>
  </si>
  <si>
    <t>April 29, 2016</t>
  </si>
  <si>
    <t>TAU</t>
  </si>
  <si>
    <t>June 29, 2018</t>
  </si>
  <si>
    <t>The After Party</t>
  </si>
  <si>
    <t>August 24, 2018</t>
  </si>
  <si>
    <t>The Babysitter: Killer Queen</t>
  </si>
  <si>
    <t>Comedy/Horror</t>
  </si>
  <si>
    <t>September 10, 2020</t>
  </si>
  <si>
    <t>The Claus Family</t>
  </si>
  <si>
    <t>Fantasy</t>
  </si>
  <si>
    <t>December 7, 2020</t>
  </si>
  <si>
    <t>The Kissing Booth 2</t>
  </si>
  <si>
    <t>July 24, 2020</t>
  </si>
  <si>
    <t>The Perfect Date</t>
  </si>
  <si>
    <t>What We Wanted</t>
  </si>
  <si>
    <t>November 11, 2020</t>
  </si>
  <si>
    <t>You've Got This</t>
  </si>
  <si>
    <t>6 Balloons</t>
  </si>
  <si>
    <t>April 6, 2018</t>
  </si>
  <si>
    <t>A Fall from Grace</t>
  </si>
  <si>
    <t>January 17, 2020</t>
  </si>
  <si>
    <t>Amateur</t>
  </si>
  <si>
    <t>Sports-drama</t>
  </si>
  <si>
    <t>Army of the Dead</t>
  </si>
  <si>
    <t>Zombie/Heist</t>
  </si>
  <si>
    <t>May 21, 2021</t>
  </si>
  <si>
    <t>Cam</t>
  </si>
  <si>
    <t>Psychological horror</t>
  </si>
  <si>
    <t>November 16, 2018</t>
  </si>
  <si>
    <t>Earthquake Bird</t>
  </si>
  <si>
    <t>Frankenstein's Monster's Monster, Frankenstein</t>
  </si>
  <si>
    <t>July 16, 2019</t>
  </si>
  <si>
    <t>Horse Girl</t>
  </si>
  <si>
    <t>February 7, 2020</t>
  </si>
  <si>
    <t>Notes from Dunblane: Lesson from a School Shooting</t>
  </si>
  <si>
    <t>Maska</t>
  </si>
  <si>
    <t>March 27, 2020</t>
  </si>
  <si>
    <t>The Decline</t>
  </si>
  <si>
    <t>The Minimalists: Less Is Now</t>
  </si>
  <si>
    <t>The Polka King</t>
  </si>
  <si>
    <t>January 12, 2018</t>
  </si>
  <si>
    <t>The Prom</t>
  </si>
  <si>
    <t>December 11, 2020</t>
  </si>
  <si>
    <t>True Memoirs of an International Assassin</t>
  </si>
  <si>
    <t>November 11, 2016</t>
  </si>
  <si>
    <t>Ultras</t>
  </si>
  <si>
    <t>Sports film</t>
  </si>
  <si>
    <t>March 20, 2020</t>
  </si>
  <si>
    <t>Come Sunday</t>
  </si>
  <si>
    <t>April 13, 2018</t>
  </si>
  <si>
    <t>Forgive Us Our Debts</t>
  </si>
  <si>
    <t>May 4, 2018</t>
  </si>
  <si>
    <t>iBoy</t>
  </si>
  <si>
    <t>January 27, 2017</t>
  </si>
  <si>
    <t>Lovefucked</t>
  </si>
  <si>
    <t>August 9, 2019</t>
  </si>
  <si>
    <t>Juanita</t>
  </si>
  <si>
    <t>March 8, 2019</t>
  </si>
  <si>
    <t>Murder Mystery</t>
  </si>
  <si>
    <t>Comedy mystery</t>
  </si>
  <si>
    <t>June 14, 2019</t>
  </si>
  <si>
    <t>Project Power</t>
  </si>
  <si>
    <t>Rebecca</t>
  </si>
  <si>
    <t>Romantic thriller</t>
  </si>
  <si>
    <t>October 21, 2020</t>
  </si>
  <si>
    <t>The Christmas Chronicles: Part Two</t>
  </si>
  <si>
    <t>Christmas comedy</t>
  </si>
  <si>
    <t>November 25, 2020</t>
  </si>
  <si>
    <t>The Kissing Booth</t>
  </si>
  <si>
    <t>May 11, 2018</t>
  </si>
  <si>
    <t>The Princess Switch</t>
  </si>
  <si>
    <t>To All the Boys: P.S. I Still Love You</t>
  </si>
  <si>
    <t>February 12, 2020</t>
  </si>
  <si>
    <t>War Machine</t>
  </si>
  <si>
    <t>War-Comedy</t>
  </si>
  <si>
    <t>May 26, 2017</t>
  </si>
  <si>
    <t>6 Underground</t>
  </si>
  <si>
    <t>December 13, 2019</t>
  </si>
  <si>
    <t>Between Two Ferns: The Movie</t>
  </si>
  <si>
    <t>September 20, 2019</t>
  </si>
  <si>
    <t>Burning Sands</t>
  </si>
  <si>
    <t>March 10, 2017</t>
  </si>
  <si>
    <t>Casting JonBenet</t>
  </si>
  <si>
    <t>Deidra &amp; Laney Rob a Train</t>
  </si>
  <si>
    <t>March 17, 2017</t>
  </si>
  <si>
    <t>Finding 'Ohana</t>
  </si>
  <si>
    <t>January 29, 2021</t>
  </si>
  <si>
    <t>Holidate</t>
  </si>
  <si>
    <t>Romantic comedy/Holiday</t>
  </si>
  <si>
    <t>Holiday in the Wild</t>
  </si>
  <si>
    <t>Adventure-romance</t>
  </si>
  <si>
    <t>Hot Girls Wanted</t>
  </si>
  <si>
    <t>May 29, 2015</t>
  </si>
  <si>
    <t>Like Father</t>
  </si>
  <si>
    <t>August 3, 2018</t>
  </si>
  <si>
    <t>Lost Girls</t>
  </si>
  <si>
    <t>March 13, 2020</t>
  </si>
  <si>
    <t>Otherhood</t>
  </si>
  <si>
    <t>August 2, 2019</t>
  </si>
  <si>
    <t>Pee-wee's Big Holiday</t>
  </si>
  <si>
    <t>Adventure</t>
  </si>
  <si>
    <t>March 18, 2016</t>
  </si>
  <si>
    <t>Rogue City</t>
  </si>
  <si>
    <t>Sergio</t>
  </si>
  <si>
    <t>Stuck Apart</t>
  </si>
  <si>
    <t>January 8, 2021</t>
  </si>
  <si>
    <t>Tersanjung the Movie</t>
  </si>
  <si>
    <t>April 1, 2021</t>
  </si>
  <si>
    <t>The Killer</t>
  </si>
  <si>
    <t>November 10, 2017</t>
  </si>
  <si>
    <t>The Lovebirds</t>
  </si>
  <si>
    <t>May 22, 2020</t>
  </si>
  <si>
    <t>The Most Hated Woman in America</t>
  </si>
  <si>
    <t>March 24, 2017</t>
  </si>
  <si>
    <t>The Perfection</t>
  </si>
  <si>
    <t>Horror-thriller</t>
  </si>
  <si>
    <t>Tribhanga â€“ Tedhi Medhi Crazy</t>
  </si>
  <si>
    <t>Unknown Origins</t>
  </si>
  <si>
    <t>August 28, 2020</t>
  </si>
  <si>
    <t>Work It</t>
  </si>
  <si>
    <t>Dance comedy</t>
  </si>
  <si>
    <t>August 7, 2020</t>
  </si>
  <si>
    <t>Alien Xmas</t>
  </si>
  <si>
    <t>Stop Motion</t>
  </si>
  <si>
    <t>November 20, 2020</t>
  </si>
  <si>
    <t>Baggio: The Divine Ponytail</t>
  </si>
  <si>
    <t>Below Zero</t>
  </si>
  <si>
    <t>Citation</t>
  </si>
  <si>
    <t>November 6, 2020</t>
  </si>
  <si>
    <t>Crazy Awesome Teachers</t>
  </si>
  <si>
    <t>August 17, 2020</t>
  </si>
  <si>
    <t>Have You Ever Seen Fireflies?</t>
  </si>
  <si>
    <t>High Flying Bird</t>
  </si>
  <si>
    <t>In the Shadow of the Moon</t>
  </si>
  <si>
    <t>September 27, 2019</t>
  </si>
  <si>
    <t>Lost Bullet</t>
  </si>
  <si>
    <t>Octonauts &amp; the Caves of Sac Actun</t>
  </si>
  <si>
    <t>Offering to the Storm</t>
  </si>
  <si>
    <t>Roxanne Roxanne</t>
  </si>
  <si>
    <t>Someone Great</t>
  </si>
  <si>
    <t>April 19, 2019</t>
  </si>
  <si>
    <t>Spenser Confidential</t>
  </si>
  <si>
    <t>The Land of Steady Habits</t>
  </si>
  <si>
    <t>September 14, 2018</t>
  </si>
  <si>
    <t>The Rachel Divide</t>
  </si>
  <si>
    <t>Voyuer</t>
  </si>
  <si>
    <t>December 1, 2017</t>
  </si>
  <si>
    <t>Win It All</t>
  </si>
  <si>
    <t>April 7, 2017</t>
  </si>
  <si>
    <t>Horror/Crime drama</t>
  </si>
  <si>
    <t>October 20, 2017</t>
  </si>
  <si>
    <t>A Tale of Two Kitchens</t>
  </si>
  <si>
    <t>May 22, 2019</t>
  </si>
  <si>
    <t>Alex Strangelove</t>
  </si>
  <si>
    <t>June 8, 2018</t>
  </si>
  <si>
    <t>Apostle</t>
  </si>
  <si>
    <t>October 12, 2018</t>
  </si>
  <si>
    <t>Benji</t>
  </si>
  <si>
    <t>March 16, 2018</t>
  </si>
  <si>
    <t>Bright</t>
  </si>
  <si>
    <t>Urban fantasy</t>
  </si>
  <si>
    <t>December 22, 2017</t>
  </si>
  <si>
    <t>Cargo</t>
  </si>
  <si>
    <t>Drama/Horror</t>
  </si>
  <si>
    <t>May 18, 2018</t>
  </si>
  <si>
    <t>Concrete Cowboy</t>
  </si>
  <si>
    <t>Feel the Beat</t>
  </si>
  <si>
    <t>Family/Comedy-drama</t>
  </si>
  <si>
    <t>Get the Goat</t>
  </si>
  <si>
    <t>March 18, 2021</t>
  </si>
  <si>
    <t>I Am Not an Easy Man</t>
  </si>
  <si>
    <t>June &amp; Kopi</t>
  </si>
  <si>
    <t>January 28, 2021</t>
  </si>
  <si>
    <t>Music Teacher</t>
  </si>
  <si>
    <t>Nail Bomber: Manhunt</t>
  </si>
  <si>
    <t>Notes for My Son</t>
  </si>
  <si>
    <t>November 24, 2020</t>
  </si>
  <si>
    <t>Polar</t>
  </si>
  <si>
    <t>January 25, 2019</t>
  </si>
  <si>
    <t>Porta dos Fundos: The Last Hangover</t>
  </si>
  <si>
    <t>December 21, 2018</t>
  </si>
  <si>
    <t>Sand Castle</t>
  </si>
  <si>
    <t>War</t>
  </si>
  <si>
    <t>April 21, 2017</t>
  </si>
  <si>
    <t>Shimmer Lake</t>
  </si>
  <si>
    <t>Crime thriller</t>
  </si>
  <si>
    <t>June 9, 2017</t>
  </si>
  <si>
    <t>Spectral</t>
  </si>
  <si>
    <t>Science fiction/Action</t>
  </si>
  <si>
    <t>December 9, 2016</t>
  </si>
  <si>
    <t>The Babysitter</t>
  </si>
  <si>
    <t>Teen comedy horror</t>
  </si>
  <si>
    <t>October 13, 2017</t>
  </si>
  <si>
    <t>The Discovery</t>
  </si>
  <si>
    <t>March 31, 2017</t>
  </si>
  <si>
    <t>The Forest of Love</t>
  </si>
  <si>
    <t>October 11, 2019</t>
  </si>
  <si>
    <t>The Laundromat</t>
  </si>
  <si>
    <t>The Legend of Cocaine Island</t>
  </si>
  <si>
    <t>The Outsider</t>
  </si>
  <si>
    <t>March 9, 2018</t>
  </si>
  <si>
    <t>Time to Hunt</t>
  </si>
  <si>
    <t>April 23, 2020</t>
  </si>
  <si>
    <t>To All the Boys: Always and Forever</t>
  </si>
  <si>
    <t>February 12, 2021</t>
  </si>
  <si>
    <t>Travis Scott: Look Mom I Can Fly</t>
  </si>
  <si>
    <t>August 28, 2019</t>
  </si>
  <si>
    <t>Uncorked</t>
  </si>
  <si>
    <t>Anelka: Misunderstood</t>
  </si>
  <si>
    <t>August 5, 2020</t>
  </si>
  <si>
    <t>Ariana Grande: Excuse Me, I Love You</t>
  </si>
  <si>
    <t>Concert Film</t>
  </si>
  <si>
    <t>December 21, 2020</t>
  </si>
  <si>
    <t>ARQ</t>
  </si>
  <si>
    <t>September 16, 2016</t>
  </si>
  <si>
    <t>Birders</t>
  </si>
  <si>
    <t>September 25, 2019</t>
  </si>
  <si>
    <t>Como CaÃ­do del Cielo</t>
  </si>
  <si>
    <t>Musical comedy</t>
  </si>
  <si>
    <t>December 24, 2019</t>
  </si>
  <si>
    <t>First Match</t>
  </si>
  <si>
    <t>Fractured</t>
  </si>
  <si>
    <t>Irreplaceable You</t>
  </si>
  <si>
    <t>February 16, 2018</t>
  </si>
  <si>
    <t>Isi &amp; Ossi</t>
  </si>
  <si>
    <t>February 14, 2020</t>
  </si>
  <si>
    <t>John Was Trying to Contact Aliens</t>
  </si>
  <si>
    <t>August 20, 2020</t>
  </si>
  <si>
    <t>Layla Majnun</t>
  </si>
  <si>
    <t>Murder to Mercy: The Cyntoia Brown Story</t>
  </si>
  <si>
    <t>April 29, 2020</t>
  </si>
  <si>
    <t>My Own Man</t>
  </si>
  <si>
    <t>December 13, 2014</t>
  </si>
  <si>
    <t>Nappily Ever After</t>
  </si>
  <si>
    <t>September 21, 2018</t>
  </si>
  <si>
    <t>Over the Moon</t>
  </si>
  <si>
    <t>Animation/Musical/Adventure</t>
  </si>
  <si>
    <t>October 23, 2020</t>
  </si>
  <si>
    <t>Street Flow</t>
  </si>
  <si>
    <t>October 12, 2019</t>
  </si>
  <si>
    <t>Strong Island</t>
  </si>
  <si>
    <t>September 15. 2017</t>
  </si>
  <si>
    <t>Sturgill Simpson Presents: Sound &amp; Fury</t>
  </si>
  <si>
    <t>Animation / Musicial</t>
  </si>
  <si>
    <t>Take Your Pills</t>
  </si>
  <si>
    <t>The Heartbreak Club</t>
  </si>
  <si>
    <t>January 14, 2021</t>
  </si>
  <si>
    <t>The Mars Generation</t>
  </si>
  <si>
    <t>The Occupant</t>
  </si>
  <si>
    <t>March 25, 2020</t>
  </si>
  <si>
    <t>The Willoughbys</t>
  </si>
  <si>
    <t>Animation/Comedy/Adventure</t>
  </si>
  <si>
    <t>April 22, 2020</t>
  </si>
  <si>
    <t>Triple Frontier</t>
  </si>
  <si>
    <t>March 13, 2019</t>
  </si>
  <si>
    <t>Two Catalonias</t>
  </si>
  <si>
    <t>Spanish/Catalan</t>
  </si>
  <si>
    <t>Walk. Ride. Rodeo.</t>
  </si>
  <si>
    <t>Wheelman</t>
  </si>
  <si>
    <t>Action thriller</t>
  </si>
  <si>
    <t>When We First Met</t>
  </si>
  <si>
    <t>February 9, 2018</t>
  </si>
  <si>
    <t>A 3 Minute Hug</t>
  </si>
  <si>
    <t>October 28, 2019</t>
  </si>
  <si>
    <t>All the Bright Places</t>
  </si>
  <si>
    <t>February 28, 2020</t>
  </si>
  <si>
    <t>All Together Now</t>
  </si>
  <si>
    <t>Altered Carbon: Resleeved</t>
  </si>
  <si>
    <t>Anime/Science fiction</t>
  </si>
  <si>
    <t>March 19, 2020</t>
  </si>
  <si>
    <t>Antoine Griezmann: The Making of a Legend</t>
  </si>
  <si>
    <t>March 21, 2019</t>
  </si>
  <si>
    <t>Canvas</t>
  </si>
  <si>
    <t>Animation / Short</t>
  </si>
  <si>
    <t>Chadwick Boseman: Portrait of an Artist</t>
  </si>
  <si>
    <t>April 17, 2021</t>
  </si>
  <si>
    <t>Chopsticks</t>
  </si>
  <si>
    <t>May 31, 2019</t>
  </si>
  <si>
    <t>Da 5 Bloods</t>
  </si>
  <si>
    <t>War drama</t>
  </si>
  <si>
    <t>June 12, 2020</t>
  </si>
  <si>
    <t>Dolly Parton: A MusiCares Tribute</t>
  </si>
  <si>
    <t>April 7, 2021</t>
  </si>
  <si>
    <t>Eurovision Song Contest: The Story of Fire Saga</t>
  </si>
  <si>
    <t>June 26, 2020</t>
  </si>
  <si>
    <t>Gerald's Game</t>
  </si>
  <si>
    <t>September 29, 2017</t>
  </si>
  <si>
    <t>His House</t>
  </si>
  <si>
    <t>Jingle Jangle: A Christmas Journey</t>
  </si>
  <si>
    <t>Family/Christmas musical</t>
  </si>
  <si>
    <t>November 13, 2020</t>
  </si>
  <si>
    <t>Life Overtakes Me</t>
  </si>
  <si>
    <t>English/Swedish</t>
  </si>
  <si>
    <t>Lust Stories</t>
  </si>
  <si>
    <t>June 15, 2018</t>
  </si>
  <si>
    <t>Monster</t>
  </si>
  <si>
    <t>May 7, 2021</t>
  </si>
  <si>
    <t>Mowgli: Legend of the Jungle</t>
  </si>
  <si>
    <t>Nobody Knows I'm Here</t>
  </si>
  <si>
    <t>June 24, 2020</t>
  </si>
  <si>
    <t>Nobody Speak: Trials of the Free Press</t>
  </si>
  <si>
    <t>June 23, 2017</t>
  </si>
  <si>
    <t>Oxygen</t>
  </si>
  <si>
    <t>Science fiction thriller</t>
  </si>
  <si>
    <t>May 12, 2021</t>
  </si>
  <si>
    <t>Set It Up</t>
  </si>
  <si>
    <t>The Incredible Jessica James</t>
  </si>
  <si>
    <t>July 28, 2017</t>
  </si>
  <si>
    <t>Tigertail</t>
  </si>
  <si>
    <t>English/Taiwanese/Mandarin</t>
  </si>
  <si>
    <t>Tramps</t>
  </si>
  <si>
    <t>What Did Jack Do?</t>
  </si>
  <si>
    <t>Drama / Short</t>
  </si>
  <si>
    <t>January 20, 2020</t>
  </si>
  <si>
    <t>Bad Trip</t>
  </si>
  <si>
    <t>Hidden-camera prank comedy</t>
  </si>
  <si>
    <t>Bird Box</t>
  </si>
  <si>
    <t>Bulbbul</t>
  </si>
  <si>
    <t>Crazy About Her</t>
  </si>
  <si>
    <t>Elisa &amp; Marcela</t>
  </si>
  <si>
    <t>June 7, 2019</t>
  </si>
  <si>
    <t>I'll Sleep When I'm Dead</t>
  </si>
  <si>
    <t>August 19, 2016</t>
  </si>
  <si>
    <t>I'm Thinking of Ending Things</t>
  </si>
  <si>
    <t>September 4, 2020</t>
  </si>
  <si>
    <t>It Takes a Lunatic</t>
  </si>
  <si>
    <t>Milestone</t>
  </si>
  <si>
    <t>Recovery Boys</t>
  </si>
  <si>
    <t>ReMastered: Who Killed Jam Master Jay?</t>
  </si>
  <si>
    <t>Shawn Mendes: In Wonder</t>
  </si>
  <si>
    <t>November 23, 2020</t>
  </si>
  <si>
    <t>Space Sweepers</t>
  </si>
  <si>
    <t>The American Meme</t>
  </si>
  <si>
    <t>The Angel</t>
  </si>
  <si>
    <t>Spy thriller</t>
  </si>
  <si>
    <t>The Crimes That Bind</t>
  </si>
  <si>
    <t>The Red Sea Diving Resort</t>
  </si>
  <si>
    <t>July 31, 2019</t>
  </si>
  <si>
    <t>What Would Sophia Loren Do?</t>
  </si>
  <si>
    <t>A Whisker Away</t>
  </si>
  <si>
    <t>Anime/Fantasy</t>
  </si>
  <si>
    <t>Ajeeb Daastaans</t>
  </si>
  <si>
    <t>April 16, 2021</t>
  </si>
  <si>
    <t>Arlo the Alligator Boy</t>
  </si>
  <si>
    <t>Animated musical comedy</t>
  </si>
  <si>
    <t>Bikram: Yogi, Guru, Predator</t>
  </si>
  <si>
    <t>November 20, 2019</t>
  </si>
  <si>
    <t>Blame!</t>
  </si>
  <si>
    <t>May 20, 2017</t>
  </si>
  <si>
    <t>Blue Miracle</t>
  </si>
  <si>
    <t>May 27, 2021</t>
  </si>
  <si>
    <t>CounterPunch</t>
  </si>
  <si>
    <t>June 16, 2017</t>
  </si>
  <si>
    <t>Crack: Cocaine, Corruption &amp; Conspiracy</t>
  </si>
  <si>
    <t>January 11, 2021</t>
  </si>
  <si>
    <t>Extraction</t>
  </si>
  <si>
    <t>April 24, 2020</t>
  </si>
  <si>
    <t>Giving Voice</t>
  </si>
  <si>
    <t>Hillbilly Elegy</t>
  </si>
  <si>
    <t>Hope Frozen: A Quest to Live Twice</t>
  </si>
  <si>
    <t>September 15, 2020</t>
  </si>
  <si>
    <t>Thia/English</t>
  </si>
  <si>
    <t>Imperial Dreams</t>
  </si>
  <si>
    <t>February 3, 2017</t>
  </si>
  <si>
    <t>Just Another Christmas</t>
  </si>
  <si>
    <t>December 3, 2020</t>
  </si>
  <si>
    <t>Little Miss Sumo</t>
  </si>
  <si>
    <t>Malcolm &amp; Marie</t>
  </si>
  <si>
    <t>Michael Bolton's Big, Sexy, Valentine's Day Special</t>
  </si>
  <si>
    <t>Variety Show</t>
  </si>
  <si>
    <t>February 7, 2017</t>
  </si>
  <si>
    <t>Moxie</t>
  </si>
  <si>
    <t>March 3, 2021</t>
  </si>
  <si>
    <t>Night in Paradise</t>
  </si>
  <si>
    <t>Paper Lives</t>
  </si>
  <si>
    <t>Parchis: The Documentary</t>
  </si>
  <si>
    <t>July 10, 2019</t>
  </si>
  <si>
    <t>Tallulah</t>
  </si>
  <si>
    <t>July 29, 2016</t>
  </si>
  <si>
    <t>The Old Guard</t>
  </si>
  <si>
    <t>Superhero/Action</t>
  </si>
  <si>
    <t>July 10, 2020</t>
  </si>
  <si>
    <t>Tony Robbins: I Am Not Your Guru</t>
  </si>
  <si>
    <t>July 15. 2016</t>
  </si>
  <si>
    <t>Upstarts</t>
  </si>
  <si>
    <t>October 10, 2018</t>
  </si>
  <si>
    <t>7 aÃ±os</t>
  </si>
  <si>
    <t>A Futile and Stupid Gesture</t>
  </si>
  <si>
    <t>Biographical/Comedy</t>
  </si>
  <si>
    <t>January 26, 2018</t>
  </si>
  <si>
    <t>A Life of Speed: The Juan Manuel Fangio Story</t>
  </si>
  <si>
    <t>A Love Song for Latasha</t>
  </si>
  <si>
    <t>September 21, 2020</t>
  </si>
  <si>
    <t>All in My Family</t>
  </si>
  <si>
    <t>English/Mandarin</t>
  </si>
  <si>
    <t>Always Be My Maybe</t>
  </si>
  <si>
    <t>Becoming</t>
  </si>
  <si>
    <t>May 6, 2020</t>
  </si>
  <si>
    <t>Long Live Brij Mohan</t>
  </si>
  <si>
    <t>Calibre</t>
  </si>
  <si>
    <t>Death to 2020</t>
  </si>
  <si>
    <t>December 27, 2020</t>
  </si>
  <si>
    <t>GIMS: On the Record</t>
  </si>
  <si>
    <t>September 17, 2020</t>
  </si>
  <si>
    <t>Have a Good Trip: Adventures in Psychedelics</t>
  </si>
  <si>
    <t>May 11, 2020</t>
  </si>
  <si>
    <t>Heroin(e)</t>
  </si>
  <si>
    <t>September 12, 2017</t>
  </si>
  <si>
    <t>Mercury 13</t>
  </si>
  <si>
    <t>Saving Capitalism</t>
  </si>
  <si>
    <t>November 21, 2017</t>
  </si>
  <si>
    <t>Serious Men</t>
  </si>
  <si>
    <t>The Boys in the Band</t>
  </si>
  <si>
    <t>September 30, 2020</t>
  </si>
  <si>
    <t>The Boys in the Band: Something Personal</t>
  </si>
  <si>
    <t>The Life Ahead</t>
  </si>
  <si>
    <t>The Other Side of the Wind</t>
  </si>
  <si>
    <t>The Trader</t>
  </si>
  <si>
    <t>Georgian</t>
  </si>
  <si>
    <t>To the Bone</t>
  </si>
  <si>
    <t>July 14, 2017</t>
  </si>
  <si>
    <t>Tony Parker: The Final Shot</t>
  </si>
  <si>
    <t>January 6, 2021</t>
  </si>
  <si>
    <t>AK vs AK</t>
  </si>
  <si>
    <t>December 24, 2020</t>
  </si>
  <si>
    <t>Amanda Knox</t>
  </si>
  <si>
    <t>September 30, 2016</t>
  </si>
  <si>
    <t>Bigflo &amp; Oil: Hip Hop Frenzy</t>
  </si>
  <si>
    <t>October 8, 2020</t>
  </si>
  <si>
    <t>Biggie: I Got a Story to Tell</t>
  </si>
  <si>
    <t>March 1, 2021</t>
  </si>
  <si>
    <t>Cops and Robbers</t>
  </si>
  <si>
    <t>December 28, 2020</t>
  </si>
  <si>
    <t>I Don't Feel at Home in This World Anymore</t>
  </si>
  <si>
    <t>February 24, 2017</t>
  </si>
  <si>
    <t>Laerte-se</t>
  </si>
  <si>
    <t>May 19, 2017</t>
  </si>
  <si>
    <t>Mank</t>
  </si>
  <si>
    <t>Our Souls at Night</t>
  </si>
  <si>
    <t>Outlaw King</t>
  </si>
  <si>
    <t>Historical-epic</t>
  </si>
  <si>
    <t>November 9, 2018</t>
  </si>
  <si>
    <t>Pagglait</t>
  </si>
  <si>
    <t>ReMastered: Who Shot the Sheriff?</t>
  </si>
  <si>
    <t>Seeing Allred</t>
  </si>
  <si>
    <t>Spelling the Dream</t>
  </si>
  <si>
    <t>June 3, 2020</t>
  </si>
  <si>
    <t>The Claudia Kishi Club</t>
  </si>
  <si>
    <t>The Half of It</t>
  </si>
  <si>
    <t>The Highwaymen</t>
  </si>
  <si>
    <t>The Lonely Island Presents: The Unauthorized Bash Brothers Experience</t>
  </si>
  <si>
    <t>May 23, 2019</t>
  </si>
  <si>
    <t>The Meyerowitz Stories (New and Selected)</t>
  </si>
  <si>
    <t>Feminists: What Were They Thinking?</t>
  </si>
  <si>
    <t>Gaga: Five Foot Two</t>
  </si>
  <si>
    <t>September 22, 2017</t>
  </si>
  <si>
    <t>I'm No Longer Here: A Discussion with Guillermo del Toro and Alfonso Cuaron</t>
  </si>
  <si>
    <t>November 3, 2020</t>
  </si>
  <si>
    <t>Kingdom of Us</t>
  </si>
  <si>
    <t>Lorena, Light-Footed Woman</t>
  </si>
  <si>
    <t>Los Tigres del Norte at Folsom Prison</t>
  </si>
  <si>
    <t>September 15, 2019</t>
  </si>
  <si>
    <t>Ma Rainey's Black Bottom</t>
  </si>
  <si>
    <t>December 18, 2020</t>
  </si>
  <si>
    <t>Ma Rainey's Black Bottom: A Legacy Brought to Screen</t>
  </si>
  <si>
    <t>Operation Varsity Blues: The College Admissions Scandal</t>
  </si>
  <si>
    <t>March 17, 2021</t>
  </si>
  <si>
    <t>Pele</t>
  </si>
  <si>
    <t>February 23, 2021</t>
  </si>
  <si>
    <t>ReMastered: Devil at the Crossroads</t>
  </si>
  <si>
    <t>April 26, 2019</t>
  </si>
  <si>
    <t>ReMastered: The Lion's Share</t>
  </si>
  <si>
    <t>ReMastered: The Miami Showband Massacre</t>
  </si>
  <si>
    <t>March 22, 2019</t>
  </si>
  <si>
    <t>Resurface</t>
  </si>
  <si>
    <t>Rocko's Modern Life: Static Cling</t>
  </si>
  <si>
    <t>Animation / Comedy</t>
  </si>
  <si>
    <t>Rose Island</t>
  </si>
  <si>
    <t>December 9, 2020</t>
  </si>
  <si>
    <t>The Christmas Chronicles</t>
  </si>
  <si>
    <t>Christmas/Fantasy/Adventure/Comedy</t>
  </si>
  <si>
    <t>November 22, 2018</t>
  </si>
  <si>
    <t>The Dirt</t>
  </si>
  <si>
    <t>The Night Comes for Us</t>
  </si>
  <si>
    <t>October 19, 2018</t>
  </si>
  <si>
    <t>13th: A Conversation with Oprah Winfrey &amp; Ava DuVernay</t>
  </si>
  <si>
    <t>January 26, 2017</t>
  </si>
  <si>
    <t>Angela's Christmas</t>
  </si>
  <si>
    <t>Angela's Christmas Wish</t>
  </si>
  <si>
    <t>December 1, 2020</t>
  </si>
  <si>
    <t>Beats</t>
  </si>
  <si>
    <t>June 19, 2019</t>
  </si>
  <si>
    <t>Circus of Books</t>
  </si>
  <si>
    <t>Dance Dreams: Hot Chocolate Nutcracker</t>
  </si>
  <si>
    <t>Derren Brown: Sacrifice</t>
  </si>
  <si>
    <t>Mentalism special</t>
  </si>
  <si>
    <t>El Pepe: A Supreme Life</t>
  </si>
  <si>
    <t>December 27, 2019</t>
  </si>
  <si>
    <t>End Game</t>
  </si>
  <si>
    <t>Evelyn</t>
  </si>
  <si>
    <t>September 10, 2019</t>
  </si>
  <si>
    <t>Ferry</t>
  </si>
  <si>
    <t>Grass Is Greener</t>
  </si>
  <si>
    <t>April 20, 2019</t>
  </si>
  <si>
    <t>Guillermo Vilas: Settling the Score</t>
  </si>
  <si>
    <t>Joshua: Teenager vs. Superpower</t>
  </si>
  <si>
    <t>Keith Richards: Under the Influence</t>
  </si>
  <si>
    <t>September 18, 2015</t>
  </si>
  <si>
    <t>Knock Down the House</t>
  </si>
  <si>
    <t>May 1, 2019</t>
  </si>
  <si>
    <t>Loudon Wainwright III: Surviving Twin</t>
  </si>
  <si>
    <t>November 13, 2018</t>
  </si>
  <si>
    <t>My Beautiful Broken Brain</t>
  </si>
  <si>
    <t>One of Us</t>
  </si>
  <si>
    <t>Pieces of a Woman</t>
  </si>
  <si>
    <t>January 7, 2021</t>
  </si>
  <si>
    <t>Ram Dass, Going Home</t>
  </si>
  <si>
    <t>ReMastered: Tricky Dick &amp; the Man in Black</t>
  </si>
  <si>
    <t>Rooting for Roona</t>
  </si>
  <si>
    <t>Bengali</t>
  </si>
  <si>
    <t>The Devil All the Time</t>
  </si>
  <si>
    <t>The Dig</t>
  </si>
  <si>
    <t>The Great Hack</t>
  </si>
  <si>
    <t>July 24, 2019</t>
  </si>
  <si>
    <t>The White Tiger</t>
  </si>
  <si>
    <t>January 22, 2021</t>
  </si>
  <si>
    <t>To All the Boys I've Loved Before</t>
  </si>
  <si>
    <t>August 17, 2018</t>
  </si>
  <si>
    <t>American Murder: The Family Next Door</t>
  </si>
  <si>
    <t>Audrie &amp; Daisy</t>
  </si>
  <si>
    <t>September 23, 2016</t>
  </si>
  <si>
    <t>First They Killed My Father</t>
  </si>
  <si>
    <t>September 15, 2017</t>
  </si>
  <si>
    <t>Khmer/English/French</t>
  </si>
  <si>
    <t>Fyre: The Greatest Party That Never Happened</t>
  </si>
  <si>
    <t>Into the Inferno</t>
  </si>
  <si>
    <t>LA Originals</t>
  </si>
  <si>
    <t>Ladies First</t>
  </si>
  <si>
    <t>March 8, 2018</t>
  </si>
  <si>
    <t>English/Hindi</t>
  </si>
  <si>
    <t>Love per Square Foot</t>
  </si>
  <si>
    <t>February 14, 2018</t>
  </si>
  <si>
    <t>Paddleton</t>
  </si>
  <si>
    <t>Drama-Comedy</t>
  </si>
  <si>
    <t>Private Life</t>
  </si>
  <si>
    <t>October 5, 2018</t>
  </si>
  <si>
    <t>Seventeen</t>
  </si>
  <si>
    <t>Coming-of-age comedy-drama</t>
  </si>
  <si>
    <t>Sometimes</t>
  </si>
  <si>
    <t>May 1, 2018</t>
  </si>
  <si>
    <t>Tamil</t>
  </si>
  <si>
    <t>Soni</t>
  </si>
  <si>
    <t>The 40-Year-Old Version</t>
  </si>
  <si>
    <t>The Disciple</t>
  </si>
  <si>
    <t>April 30, 2021</t>
  </si>
  <si>
    <t>The Edge of Democracy</t>
  </si>
  <si>
    <t>The King</t>
  </si>
  <si>
    <t>Historical drama</t>
  </si>
  <si>
    <t>The Road to El Camino: A Breaking Bad Movie</t>
  </si>
  <si>
    <t>Making-of</t>
  </si>
  <si>
    <t>October 29, 2019</t>
  </si>
  <si>
    <t>The Siege of Jadotville</t>
  </si>
  <si>
    <t>October 7, 2016</t>
  </si>
  <si>
    <t>Zion</t>
  </si>
  <si>
    <t>Dolemite Is My Name</t>
  </si>
  <si>
    <t>El Camino: A Breaking Bad Movie</t>
  </si>
  <si>
    <t>Extremis</t>
  </si>
  <si>
    <t>September 13, 2016</t>
  </si>
  <si>
    <t>Father Soldier Son</t>
  </si>
  <si>
    <t>July 17, 2020</t>
  </si>
  <si>
    <t>Get Me Roger Stone</t>
  </si>
  <si>
    <t>May 12, 2017</t>
  </si>
  <si>
    <t>I'm No Longer Here</t>
  </si>
  <si>
    <t>May 27, 2020</t>
  </si>
  <si>
    <t>Mucho Mucho Amor: The Legend of Walter Mercado</t>
  </si>
  <si>
    <t>July 8, 2020</t>
  </si>
  <si>
    <t>Spanish/English</t>
  </si>
  <si>
    <t>Octonauts &amp; the Great Barrier Reef</t>
  </si>
  <si>
    <t>October 13, 2020</t>
  </si>
  <si>
    <t>Okja</t>
  </si>
  <si>
    <t>Action-adventure</t>
  </si>
  <si>
    <t>June 28, 2017</t>
  </si>
  <si>
    <t>English/Korean</t>
  </si>
  <si>
    <t>On My Skin</t>
  </si>
  <si>
    <t>September 12, 2018</t>
  </si>
  <si>
    <t>Raat Akeli Hai</t>
  </si>
  <si>
    <t>ReMastered: Massacre at the Stadium</t>
  </si>
  <si>
    <t>ReMastered: The Two Killings of Sam Cooke</t>
  </si>
  <si>
    <t>Secrets of the Saqqara Tomb</t>
  </si>
  <si>
    <t>English/Arabic</t>
  </si>
  <si>
    <t>Sitara: Let Girls Dream</t>
  </si>
  <si>
    <t>March 8, 2020</t>
  </si>
  <si>
    <t>Sky Ladder: The Art of Cai Guo-Qiang</t>
  </si>
  <si>
    <t>October 14, 2016</t>
  </si>
  <si>
    <t>Team Foxcatcher</t>
  </si>
  <si>
    <t>English/Russian</t>
  </si>
  <si>
    <t>The Ballad of Buster Scruggs</t>
  </si>
  <si>
    <t>The Death and Life of Marsha P. Johnson</t>
  </si>
  <si>
    <t>October 6, 2017</t>
  </si>
  <si>
    <t>The Fundamentals of Caring</t>
  </si>
  <si>
    <t>June 24, 2016</t>
  </si>
  <si>
    <t>The Other One: The Long Strange Trip of Bob Weir</t>
  </si>
  <si>
    <t>May 22, 2015</t>
  </si>
  <si>
    <t>American Factory</t>
  </si>
  <si>
    <t>Fire in Paradise</t>
  </si>
  <si>
    <t>Long Shot</t>
  </si>
  <si>
    <t>Miss Americana</t>
  </si>
  <si>
    <t>January 31, 2020</t>
  </si>
  <si>
    <t>Period. End of Sentence.</t>
  </si>
  <si>
    <t>February 12, 2019</t>
  </si>
  <si>
    <t>Shawn Mendes: Live in Concert</t>
  </si>
  <si>
    <t>Shirkers</t>
  </si>
  <si>
    <t>The Black Godfather</t>
  </si>
  <si>
    <t>The Irishman: In Conversation</t>
  </si>
  <si>
    <t>November 27, 2019</t>
  </si>
  <si>
    <t>The Speed Cubers</t>
  </si>
  <si>
    <t>July 29, 2020</t>
  </si>
  <si>
    <t>They'll Love Me When I'm Dead</t>
  </si>
  <si>
    <t>Tig</t>
  </si>
  <si>
    <t>July 17, 2015</t>
  </si>
  <si>
    <t>Barbra: The Music, The Mem'ries, The Magic!</t>
  </si>
  <si>
    <t>November 22, 2017</t>
  </si>
  <si>
    <t>Blackpink: Light Up the Sky</t>
  </si>
  <si>
    <t>October 14, 2020</t>
  </si>
  <si>
    <t>City of Joy</t>
  </si>
  <si>
    <t>Dick Johnson Is Dead</t>
  </si>
  <si>
    <t>Homecoming: A Film by Beyonce</t>
  </si>
  <si>
    <t>April 17, 2019</t>
  </si>
  <si>
    <t>Invader Zim: Enter the Florpus</t>
  </si>
  <si>
    <t>Animation / Science Fiction</t>
  </si>
  <si>
    <t>Joan Didion: The Center Will Not Hold</t>
  </si>
  <si>
    <t>October 27. 2017</t>
  </si>
  <si>
    <t>John Mulaney &amp; the Sack Lunch Bunch</t>
  </si>
  <si>
    <t>Reversing Roe</t>
  </si>
  <si>
    <t>September 13, 2018</t>
  </si>
  <si>
    <t>The White Helmets</t>
  </si>
  <si>
    <t>September 16. 2016</t>
  </si>
  <si>
    <t>Athlete A</t>
  </si>
  <si>
    <t>Ludo</t>
  </si>
  <si>
    <t>Anthology/Dark comedy</t>
  </si>
  <si>
    <t>November 12, 2020</t>
  </si>
  <si>
    <t>Quincy</t>
  </si>
  <si>
    <t>Rolling Thunder Revue: A bob Dylan Story by Martin Scorsere</t>
  </si>
  <si>
    <t>June 12, 2019</t>
  </si>
  <si>
    <t>Tell Me Who I Am</t>
  </si>
  <si>
    <t>The Bleeding Edge</t>
  </si>
  <si>
    <t>The Social Dilemma</t>
  </si>
  <si>
    <t>September 9, 2020</t>
  </si>
  <si>
    <t>The Two Popes</t>
  </si>
  <si>
    <t>December 20, 2019</t>
  </si>
  <si>
    <t>What Happened, Miss Simone?</t>
  </si>
  <si>
    <t>June 26, 2015</t>
  </si>
  <si>
    <t>Yeh Ballet</t>
  </si>
  <si>
    <t>Anima</t>
  </si>
  <si>
    <t>Musical / Short</t>
  </si>
  <si>
    <t>June 27, 2019</t>
  </si>
  <si>
    <t>Beasts of No Nation</t>
  </si>
  <si>
    <t>October 16, 2015</t>
  </si>
  <si>
    <t>English/Akan</t>
  </si>
  <si>
    <t>Brene Brown: The Call to Courage</t>
  </si>
  <si>
    <t>Crip Camp: A Disability Revolution</t>
  </si>
  <si>
    <t xml:space="preserve">Jim &amp; Andy: The Great Beyond - Featuring a Very Special, Contractually Obligated Mention of Tony Cliffton </t>
  </si>
  <si>
    <t>Justin Timberlake + The Tennessee Kids</t>
  </si>
  <si>
    <t>October 12, 2016</t>
  </si>
  <si>
    <t>Road to Roma</t>
  </si>
  <si>
    <t>February 11, 2020</t>
  </si>
  <si>
    <t>Roma</t>
  </si>
  <si>
    <t>December 14, 2018</t>
  </si>
  <si>
    <t>If Anything Happens I Love You</t>
  </si>
  <si>
    <t>The Irishman</t>
  </si>
  <si>
    <t>The Trial of the Chicago 7</t>
  </si>
  <si>
    <t>October 16, 2020</t>
  </si>
  <si>
    <t>A Secret Love</t>
  </si>
  <si>
    <t>Icarus</t>
  </si>
  <si>
    <t>August 4, 2017</t>
  </si>
  <si>
    <t>Marriage Story</t>
  </si>
  <si>
    <t>December 6, 2019</t>
  </si>
  <si>
    <t>The Ivory Game</t>
  </si>
  <si>
    <t>November 4, 2016</t>
  </si>
  <si>
    <t>Struggle: The Life and Lost Art of Szukaiski</t>
  </si>
  <si>
    <t>Chasing Coral</t>
  </si>
  <si>
    <t>My Octopus Teacher</t>
  </si>
  <si>
    <t>September 7, 2020</t>
  </si>
  <si>
    <t>Rising Phoenix</t>
  </si>
  <si>
    <t>August 26, 2020</t>
  </si>
  <si>
    <t>13th</t>
  </si>
  <si>
    <t>Disclosure: Trans Lives on Screen</t>
  </si>
  <si>
    <t>Klaus</t>
  </si>
  <si>
    <t>Animation/Christmas/Comedy/Adventure</t>
  </si>
  <si>
    <t>Seaspiracy</t>
  </si>
  <si>
    <t>March 24, 2021</t>
  </si>
  <si>
    <t>The Three Deaths of Marisela Escobedo</t>
  </si>
  <si>
    <t>Cuba and the Cameraman</t>
  </si>
  <si>
    <t>November 24, 2017</t>
  </si>
  <si>
    <t>Dancing with the Birds</t>
  </si>
  <si>
    <t>October 23, 2019</t>
  </si>
  <si>
    <t>Ben Platt: Live from Radio City Music Hall</t>
  </si>
  <si>
    <t>May 20, 2020</t>
  </si>
  <si>
    <t>Taylor Swift: Reputation Stadium Tour</t>
  </si>
  <si>
    <t>December 31, 2018</t>
  </si>
  <si>
    <t>Winter on Fire: Ukraine's Fight for Freedom</t>
  </si>
  <si>
    <t>October 9, 2015</t>
  </si>
  <si>
    <t>English/Ukranian/Russian</t>
  </si>
  <si>
    <t>Springsteen on Broadway</t>
  </si>
  <si>
    <t>December 16, 2018</t>
  </si>
  <si>
    <t>Emicida: AmarElo - It's All For Yesterday</t>
  </si>
  <si>
    <t>December 8, 2020</t>
  </si>
  <si>
    <t>David Attenborough: A Life on Our Planet</t>
  </si>
  <si>
    <t>October 4, 2020</t>
  </si>
  <si>
    <t>Òlòt?ré</t>
  </si>
  <si>
    <t>15 August</t>
  </si>
  <si>
    <t>Tribhanga – Tedhi Medhi Crazy</t>
  </si>
  <si>
    <t>1922</t>
  </si>
  <si>
    <t>Como Caído del Cielo</t>
  </si>
  <si>
    <t>22 July</t>
  </si>
  <si>
    <t>7 años</t>
  </si>
  <si>
    <t>Sum of Runtime</t>
  </si>
  <si>
    <t>Row Labels</t>
  </si>
  <si>
    <t>Grand Total</t>
  </si>
  <si>
    <t>Maximum runtime by Genre</t>
  </si>
  <si>
    <t>Minimum runtime by Genre</t>
  </si>
  <si>
    <t>Average runtime by Genre</t>
  </si>
  <si>
    <t>TOTAL RUNTIME</t>
  </si>
  <si>
    <t>The highest movie language is ENGLISH</t>
  </si>
  <si>
    <t>The lowest movie language is BENGALI</t>
  </si>
  <si>
    <t>DUTCH was spoken in just 3 movies.</t>
  </si>
  <si>
    <t>The top ten by RUNTIME was shown with filter.</t>
  </si>
  <si>
    <t>Most watched movie by Genre is IRISH MAN</t>
  </si>
  <si>
    <t>Least watch movie by Genre is SOL LEVANTE</t>
  </si>
  <si>
    <t>Average Runtime</t>
  </si>
  <si>
    <t>Ave Runtime</t>
  </si>
  <si>
    <t>Ave&gt;Runtime,"Yes"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</si>
</sst>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14" fontId="18" fillId="0" borderId="0" xfId="0" applyNumberFormat="1" applyFont="1"/>
    <xf numFmtId="2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bey" refreshedDate="44588.791032407411" createdVersion="7" refreshedVersion="7" minRefreshableVersion="3" recordCount="584" xr:uid="{00000000-000A-0000-FFFF-FFFF03000000}">
  <cacheSource type="worksheet">
    <worksheetSource name="Netflix_Movies"/>
  </cacheSource>
  <cacheFields count="5">
    <cacheField name="Title" numFmtId="0">
      <sharedItems/>
    </cacheField>
    <cacheField name="Genre" numFmtId="0">
      <sharedItems count="114">
        <s v="Documentary"/>
        <s v="Thriller"/>
        <s v="Science fiction/Drama"/>
        <s v="Horror thriller"/>
        <s v="Mystery"/>
        <s v="Action"/>
        <s v="Comedy"/>
        <s v="Heist film/Thriller"/>
        <s v="Musical/Western/Fantasy"/>
        <s v="Drama"/>
        <s v="Romantic comedy"/>
        <s v="Action comedy"/>
        <s v="Horror anthology"/>
        <s v="Political thriller"/>
        <s v="Superhero-Comedy"/>
        <s v="Horror"/>
        <s v="Romance drama"/>
        <s v="Anime / Short"/>
        <s v="Superhero"/>
        <s v="Heist"/>
        <s v="Western"/>
        <s v="Animation/Superhero"/>
        <s v="Family film"/>
        <s v="Action-thriller"/>
        <s v="Teen comedy-drama"/>
        <s v="Romantic drama"/>
        <s v="Animation"/>
        <s v="Aftershow / Interview"/>
        <s v="Christmas musical"/>
        <s v="Science fiction adventure"/>
        <s v="Science fiction"/>
        <s v="Variety show"/>
        <s v="Comedy-drama"/>
        <s v="Comedy/Fantasy/Family"/>
        <s v="Supernatural drama"/>
        <s v="Action/Comedy"/>
        <s v="Action/Science fiction"/>
        <s v="Romantic teenage drama"/>
        <s v="Comedy / Musical"/>
        <s v="Musical"/>
        <s v="Science fiction/Mystery"/>
        <s v="Crime drama"/>
        <s v="Psychological thriller drama"/>
        <s v="Adventure/Comedy"/>
        <s v="Black comedy"/>
        <s v="Romance"/>
        <s v="Horror comedy"/>
        <s v="Christian musical"/>
        <s v="Romantic teen drama"/>
        <s v="Family"/>
        <s v="Dark comedy"/>
        <s v="Comedy horror"/>
        <s v="Psychological thriller"/>
        <s v="Biopic"/>
        <s v="Science fiction/Thriller"/>
        <s v="Mockumentary"/>
        <s v="Satire"/>
        <s v="One-man show"/>
        <s v="Romantic comedy-drama"/>
        <s v="Comedy/Horror"/>
        <s v="Fantasy"/>
        <s v="Sports-drama"/>
        <s v="Zombie/Heist"/>
        <s v="Psychological horror"/>
        <s v="Sports film"/>
        <s v="Comedy mystery"/>
        <s v="Romantic thriller"/>
        <s v="Christmas comedy"/>
        <s v="War-Comedy"/>
        <s v="Romantic comedy/Holiday"/>
        <s v="Adventure-romance"/>
        <s v="Adventure"/>
        <s v="Horror-thriller"/>
        <s v="Dance comedy"/>
        <s v="Stop Motion"/>
        <s v="Horror/Crime drama"/>
        <s v="Urban fantasy"/>
        <s v="Drama/Horror"/>
        <s v="Family/Comedy-drama"/>
        <s v="War"/>
        <s v="Crime thriller"/>
        <s v="Science fiction/Action"/>
        <s v="Teen comedy horror"/>
        <s v="Concert Film"/>
        <s v="Musical comedy"/>
        <s v="Animation/Musical/Adventure"/>
        <s v="Animation / Musicial"/>
        <s v="Animation/Comedy/Adventure"/>
        <s v="Action thriller"/>
        <s v="Anime/Science fiction"/>
        <s v="Animation / Short"/>
        <s v="War drama"/>
        <s v="Family/Christmas musical"/>
        <s v="Science fiction thriller"/>
        <s v="Drama / Short"/>
        <s v="Hidden-camera prank comedy"/>
        <s v="Spy thriller"/>
        <s v="Anime/Fantasy"/>
        <s v="Animated musical comedy"/>
        <s v="Superhero/Action"/>
        <s v="Biographical/Comedy"/>
        <s v="Historical-epic"/>
        <s v="Animation / Comedy"/>
        <s v="Christmas/Fantasy/Adventure/Comedy"/>
        <s v="Mentalism special"/>
        <s v="Drama-Comedy"/>
        <s v="Coming-of-age comedy-drama"/>
        <s v="Historical drama"/>
        <s v="Making-of"/>
        <s v="Action-adventure"/>
        <s v="Animation / Science Fiction"/>
        <s v="Anthology/Dark comedy"/>
        <s v="Musical / Short"/>
        <s v="Animation/Christmas/Comedy/Adventure"/>
      </sharedItems>
    </cacheField>
    <cacheField name="Premiere" numFmtId="14">
      <sharedItems containsSemiMixedTypes="0" containsNonDate="0" containsDate="1" containsString="0" minDate="2014-12-13T00:00:00" maxDate="2021-05-28T00:00:00"/>
    </cacheField>
    <cacheField name="Runtime" numFmtId="0">
      <sharedItems containsSemiMixedTypes="0" containsString="0" containsNumber="1" containsInteger="1" minValue="4" maxValue="209"/>
    </cacheField>
    <cacheField name="Language" numFmtId="0">
      <sharedItems count="38">
        <s v="English/Japanese"/>
        <s v="Spanish"/>
        <s v="Italian"/>
        <s v="English"/>
        <s v="Hindi"/>
        <s v="Turkish"/>
        <s v="Korean"/>
        <s v="Indonesian"/>
        <s v="Malay"/>
        <s v="Dutch"/>
        <s v="French"/>
        <s v="English/Spanish"/>
        <s v="Portuguese"/>
        <s v="Filipino"/>
        <s v="German"/>
        <s v="Polish"/>
        <s v="Norwegian"/>
        <s v="Marathi"/>
        <s v="Thai"/>
        <s v="Swedish"/>
        <s v="Japanese"/>
        <s v="Spanish/Basque"/>
        <s v="Spanish/Catalan"/>
        <s v="English/Swedish"/>
        <s v="English/Taiwanese/Mandarin"/>
        <s v="Thia/English"/>
        <s v="English/Mandarin"/>
        <s v="Georgian"/>
        <s v="Bengali"/>
        <s v="Khmer/English/French"/>
        <s v="English/Hindi"/>
        <s v="Tamil"/>
        <s v="Spanish/English"/>
        <s v="English/Korean"/>
        <s v="English/Arabic"/>
        <s v="English/Russian"/>
        <s v="English/Akan"/>
        <s v="English/Ukranian/Russia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4">
  <r>
    <s v="Enter the Anime"/>
    <x v="0"/>
    <d v="2019-08-05T00:00:00"/>
    <n v="58"/>
    <x v="0"/>
  </r>
  <r>
    <s v="Dark Forces"/>
    <x v="1"/>
    <d v="2020-08-21T00:00:00"/>
    <n v="81"/>
    <x v="1"/>
  </r>
  <r>
    <s v="The App"/>
    <x v="2"/>
    <d v="2019-12-26T00:00:00"/>
    <n v="79"/>
    <x v="2"/>
  </r>
  <r>
    <s v="The Open House"/>
    <x v="3"/>
    <d v="2018-01-19T00:00:00"/>
    <n v="94"/>
    <x v="3"/>
  </r>
  <r>
    <s v="Kaali Khuhi"/>
    <x v="4"/>
    <d v="2020-10-30T00:00:00"/>
    <n v="90"/>
    <x v="4"/>
  </r>
  <r>
    <s v="Drive"/>
    <x v="5"/>
    <d v="2019-11-01T00:00:00"/>
    <n v="147"/>
    <x v="4"/>
  </r>
  <r>
    <s v="Leyla Everlasting"/>
    <x v="6"/>
    <d v="2020-12-04T00:00:00"/>
    <n v="112"/>
    <x v="5"/>
  </r>
  <r>
    <s v="The Last Days of American Crime"/>
    <x v="7"/>
    <d v="2020-06-05T00:00:00"/>
    <n v="149"/>
    <x v="3"/>
  </r>
  <r>
    <s v="Paradox"/>
    <x v="8"/>
    <d v="2018-03-23T00:00:00"/>
    <n v="73"/>
    <x v="3"/>
  </r>
  <r>
    <s v="Sardar Ka Grandson"/>
    <x v="6"/>
    <d v="2021-05-18T00:00:00"/>
    <n v="139"/>
    <x v="4"/>
  </r>
  <r>
    <s v="Searching for Sheela"/>
    <x v="0"/>
    <d v="2021-04-22T00:00:00"/>
    <n v="58"/>
    <x v="3"/>
  </r>
  <r>
    <s v="The Call"/>
    <x v="9"/>
    <d v="2020-11-27T00:00:00"/>
    <n v="112"/>
    <x v="6"/>
  </r>
  <r>
    <s v="Whipped"/>
    <x v="10"/>
    <d v="2020-09-18T00:00:00"/>
    <n v="97"/>
    <x v="7"/>
  </r>
  <r>
    <s v="All Because of You"/>
    <x v="11"/>
    <d v="2020-10-01T00:00:00"/>
    <n v="101"/>
    <x v="8"/>
  </r>
  <r>
    <s v="Mercy"/>
    <x v="1"/>
    <d v="2016-11-22T00:00:00"/>
    <n v="90"/>
    <x v="3"/>
  </r>
  <r>
    <s v="After the Raid"/>
    <x v="0"/>
    <d v="2019-12-19T00:00:00"/>
    <n v="25"/>
    <x v="1"/>
  </r>
  <r>
    <s v="Ghost Stories"/>
    <x v="12"/>
    <d v="2020-01-01T00:00:00"/>
    <n v="144"/>
    <x v="4"/>
  </r>
  <r>
    <s v="The Last Thing He Wanted"/>
    <x v="13"/>
    <d v="2020-02-21T00:00:00"/>
    <n v="115"/>
    <x v="3"/>
  </r>
  <r>
    <s v="What Happened to Mr. Cha?"/>
    <x v="6"/>
    <d v="2021-01-01T00:00:00"/>
    <n v="102"/>
    <x v="6"/>
  </r>
  <r>
    <s v="Death Note"/>
    <x v="3"/>
    <d v="2017-08-25T00:00:00"/>
    <n v="100"/>
    <x v="3"/>
  </r>
  <r>
    <s v="Hello Privilege. It's Me, Chelsea"/>
    <x v="0"/>
    <d v="2019-09-13T00:00:00"/>
    <n v="64"/>
    <x v="3"/>
  </r>
  <r>
    <s v="Secret Obsession"/>
    <x v="1"/>
    <d v="2019-07-18T00:00:00"/>
    <n v="97"/>
    <x v="3"/>
  </r>
  <r>
    <s v="Sextuplets"/>
    <x v="6"/>
    <d v="2019-08-16T00:00:00"/>
    <n v="99"/>
    <x v="3"/>
  </r>
  <r>
    <s v="The Girl on the Train"/>
    <x v="1"/>
    <d v="2021-02-26T00:00:00"/>
    <n v="120"/>
    <x v="4"/>
  </r>
  <r>
    <s v="Thunder Force"/>
    <x v="14"/>
    <d v="2021-04-09T00:00:00"/>
    <n v="105"/>
    <x v="3"/>
  </r>
  <r>
    <s v="Fatal Affair"/>
    <x v="1"/>
    <d v="2020-07-16T00:00:00"/>
    <n v="89"/>
    <x v="3"/>
  </r>
  <r>
    <s v="Just Say Yes"/>
    <x v="10"/>
    <d v="2021-04-02T00:00:00"/>
    <n v="97"/>
    <x v="9"/>
  </r>
  <r>
    <s v="Seriously Single"/>
    <x v="6"/>
    <d v="2020-07-31T00:00:00"/>
    <n v="107"/>
    <x v="3"/>
  </r>
  <r>
    <s v="The Misadventures of Hedi and Cokeman"/>
    <x v="6"/>
    <d v="2021-02-10T00:00:00"/>
    <n v="99"/>
    <x v="10"/>
  </r>
  <r>
    <s v="5 Star Christmas"/>
    <x v="6"/>
    <d v="2018-12-07T00:00:00"/>
    <n v="95"/>
    <x v="2"/>
  </r>
  <r>
    <s v="After Maria"/>
    <x v="0"/>
    <d v="2019-05-24T00:00:00"/>
    <n v="37"/>
    <x v="11"/>
  </r>
  <r>
    <s v="I Am the Pretty Thing That Lives in the House"/>
    <x v="15"/>
    <d v="2016-10-28T00:00:00"/>
    <n v="89"/>
    <x v="3"/>
  </r>
  <r>
    <s v="Paris Is Us"/>
    <x v="16"/>
    <d v="2019-02-22T00:00:00"/>
    <n v="83"/>
    <x v="10"/>
  </r>
  <r>
    <s v="Porta dos Fundos: The First Temptation of Christ"/>
    <x v="6"/>
    <d v="2019-12-03T00:00:00"/>
    <n v="46"/>
    <x v="12"/>
  </r>
  <r>
    <s v="Rattlesnake"/>
    <x v="15"/>
    <d v="2019-10-25T00:00:00"/>
    <n v="85"/>
    <x v="3"/>
  </r>
  <r>
    <s v="The Players"/>
    <x v="6"/>
    <d v="2020-07-15T00:00:00"/>
    <n v="88"/>
    <x v="2"/>
  </r>
  <r>
    <s v="We Are One"/>
    <x v="0"/>
    <d v="2020-07-14T00:00:00"/>
    <n v="86"/>
    <x v="10"/>
  </r>
  <r>
    <s v="Finding Agnes"/>
    <x v="9"/>
    <d v="2020-11-30T00:00:00"/>
    <n v="105"/>
    <x v="13"/>
  </r>
  <r>
    <s v="IO"/>
    <x v="2"/>
    <d v="2019-01-18T00:00:00"/>
    <n v="95"/>
    <x v="3"/>
  </r>
  <r>
    <s v="Sentinelle"/>
    <x v="5"/>
    <d v="2021-03-05T00:00:00"/>
    <n v="80"/>
    <x v="10"/>
  </r>
  <r>
    <s v="Sol Levante"/>
    <x v="17"/>
    <d v="2020-04-02T00:00:00"/>
    <n v="4"/>
    <x v="3"/>
  </r>
  <r>
    <s v="The Binding"/>
    <x v="9"/>
    <d v="2020-10-02T00:00:00"/>
    <n v="93"/>
    <x v="2"/>
  </r>
  <r>
    <s v="We Can Be Heroes"/>
    <x v="18"/>
    <d v="2020-12-25T00:00:00"/>
    <n v="100"/>
    <x v="3"/>
  </r>
  <r>
    <s v="Christmas Crossfire"/>
    <x v="1"/>
    <d v="2020-12-04T00:00:00"/>
    <n v="106"/>
    <x v="14"/>
  </r>
  <r>
    <s v="Coin Heist"/>
    <x v="19"/>
    <d v="2017-01-06T00:00:00"/>
    <n v="97"/>
    <x v="3"/>
  </r>
  <r>
    <s v="Mrs. Serial Killer"/>
    <x v="1"/>
    <d v="2020-05-01T00:00:00"/>
    <n v="106"/>
    <x v="4"/>
  </r>
  <r>
    <s v="Nobody Sleeps in the Woods Tonight"/>
    <x v="15"/>
    <d v="2020-10-28T00:00:00"/>
    <n v="103"/>
    <x v="15"/>
  </r>
  <r>
    <s v="Take the 10"/>
    <x v="6"/>
    <d v="2017-01-20T00:00:00"/>
    <n v="80"/>
    <x v="3"/>
  </r>
  <r>
    <s v="The Main Event"/>
    <x v="6"/>
    <d v="2020-04-10T00:00:00"/>
    <n v="101"/>
    <x v="3"/>
  </r>
  <r>
    <s v="The Ridiculous 6"/>
    <x v="20"/>
    <d v="2015-12-11T00:00:00"/>
    <n v="119"/>
    <x v="3"/>
  </r>
  <r>
    <s v="Earth and Blood"/>
    <x v="5"/>
    <d v="2020-04-17T00:00:00"/>
    <n v="80"/>
    <x v="10"/>
  </r>
  <r>
    <s v="Fearless"/>
    <x v="21"/>
    <d v="2020-08-14T00:00:00"/>
    <n v="89"/>
    <x v="3"/>
  </r>
  <r>
    <s v="Holiday Rush"/>
    <x v="22"/>
    <d v="2019-11-28T00:00:00"/>
    <n v="94"/>
    <x v="3"/>
  </r>
  <r>
    <s v="The Day of the Lord"/>
    <x v="9"/>
    <d v="2020-10-30T00:00:00"/>
    <n v="93"/>
    <x v="1"/>
  </r>
  <r>
    <s v="Airplane Mode"/>
    <x v="6"/>
    <d v="2020-01-23T00:00:00"/>
    <n v="96"/>
    <x v="12"/>
  </r>
  <r>
    <s v="How It Ends"/>
    <x v="23"/>
    <d v="2018-07-13T00:00:00"/>
    <n v="113"/>
    <x v="3"/>
  </r>
  <r>
    <s v="Love Like the Falling Rain"/>
    <x v="9"/>
    <d v="2020-10-15T00:00:00"/>
    <n v="86"/>
    <x v="7"/>
  </r>
  <r>
    <s v="Rebirth"/>
    <x v="1"/>
    <d v="2016-07-15T00:00:00"/>
    <n v="100"/>
    <x v="3"/>
  </r>
  <r>
    <s v="Squared Love"/>
    <x v="10"/>
    <d v="2021-02-11T00:00:00"/>
    <n v="102"/>
    <x v="15"/>
  </r>
  <r>
    <s v="Cadaver"/>
    <x v="15"/>
    <d v="2020-10-22T00:00:00"/>
    <n v="86"/>
    <x v="16"/>
  </r>
  <r>
    <s v="Clinical"/>
    <x v="1"/>
    <d v="2017-01-13T00:00:00"/>
    <n v="104"/>
    <x v="3"/>
  </r>
  <r>
    <s v="Coffee &amp; Kareem"/>
    <x v="11"/>
    <d v="2020-04-03T00:00:00"/>
    <n v="88"/>
    <x v="3"/>
  </r>
  <r>
    <s v="Dude"/>
    <x v="24"/>
    <d v="2018-04-20T00:00:00"/>
    <n v="97"/>
    <x v="3"/>
  </r>
  <r>
    <s v="Geez &amp; Ann"/>
    <x v="25"/>
    <d v="2021-02-25T00:00:00"/>
    <n v="105"/>
    <x v="7"/>
  </r>
  <r>
    <s v="The Larva Island Movie"/>
    <x v="26"/>
    <d v="2020-07-23T00:00:00"/>
    <n v="90"/>
    <x v="3"/>
  </r>
  <r>
    <s v="#REALITYHIGH"/>
    <x v="6"/>
    <d v="2017-09-08T00:00:00"/>
    <n v="99"/>
    <x v="3"/>
  </r>
  <r>
    <s v="American Factory: A Conversation with the Obamas"/>
    <x v="27"/>
    <d v="2019-08-21T00:00:00"/>
    <n v="10"/>
    <x v="3"/>
  </r>
  <r>
    <s v="Desperados"/>
    <x v="10"/>
    <d v="2020-07-03T00:00:00"/>
    <n v="106"/>
    <x v="3"/>
  </r>
  <r>
    <s v="Dolly Parton's Christmas on the Square"/>
    <x v="28"/>
    <d v="2020-11-22T00:00:00"/>
    <n v="98"/>
    <x v="3"/>
  </r>
  <r>
    <s v="Father of the Year"/>
    <x v="6"/>
    <d v="2018-07-20T00:00:00"/>
    <n v="94"/>
    <x v="3"/>
  </r>
  <r>
    <s v="Firebrand"/>
    <x v="9"/>
    <d v="2019-02-22T00:00:00"/>
    <n v="112"/>
    <x v="17"/>
  </r>
  <r>
    <s v="Ghost Lab"/>
    <x v="15"/>
    <d v="2021-05-26T00:00:00"/>
    <n v="117"/>
    <x v="18"/>
  </r>
  <r>
    <s v="Girlfriend's Day"/>
    <x v="6"/>
    <d v="2017-02-14T00:00:00"/>
    <n v="70"/>
    <x v="3"/>
  </r>
  <r>
    <s v="Handsome: A Netflix Mystery Movie"/>
    <x v="6"/>
    <d v="2017-05-05T00:00:00"/>
    <n v="81"/>
    <x v="3"/>
  </r>
  <r>
    <s v="Hubie Halloween"/>
    <x v="6"/>
    <d v="2020-10-07T00:00:00"/>
    <n v="103"/>
    <x v="3"/>
  </r>
  <r>
    <s v="Ibiza"/>
    <x v="6"/>
    <d v="2018-05-25T00:00:00"/>
    <n v="94"/>
    <x v="3"/>
  </r>
  <r>
    <s v="Rim of the World"/>
    <x v="29"/>
    <d v="2019-05-24T00:00:00"/>
    <n v="98"/>
    <x v="3"/>
  </r>
  <r>
    <s v="Sandy Wexler"/>
    <x v="6"/>
    <d v="2017-04-14T00:00:00"/>
    <n v="131"/>
    <x v="3"/>
  </r>
  <r>
    <s v="See You Yesterday"/>
    <x v="30"/>
    <d v="2019-05-17T00:00:00"/>
    <n v="87"/>
    <x v="3"/>
  </r>
  <r>
    <s v="Still Laugh-In: The Stars Celebrate"/>
    <x v="31"/>
    <d v="2019-05-14T00:00:00"/>
    <n v="60"/>
    <x v="3"/>
  </r>
  <r>
    <s v="Strip Down, Rise Up"/>
    <x v="0"/>
    <d v="2021-02-05T00:00:00"/>
    <n v="112"/>
    <x v="3"/>
  </r>
  <r>
    <s v="Tall Girl"/>
    <x v="32"/>
    <d v="2019-09-13T00:00:00"/>
    <n v="102"/>
    <x v="3"/>
  </r>
  <r>
    <s v="The Beast"/>
    <x v="9"/>
    <d v="2020-11-27T00:00:00"/>
    <n v="99"/>
    <x v="2"/>
  </r>
  <r>
    <s v="The Week Of"/>
    <x v="6"/>
    <d v="2018-04-27T00:00:00"/>
    <n v="116"/>
    <x v="3"/>
  </r>
  <r>
    <s v="A Christmas Prince: The Royal Wedding"/>
    <x v="10"/>
    <d v="2018-11-30T00:00:00"/>
    <n v="92"/>
    <x v="3"/>
  </r>
  <r>
    <s v="Back to School"/>
    <x v="6"/>
    <d v="2019-08-30T00:00:00"/>
    <n v="83"/>
    <x v="10"/>
  </r>
  <r>
    <s v="Dangerous Lies"/>
    <x v="1"/>
    <d v="2020-04-30T00:00:00"/>
    <n v="97"/>
    <x v="3"/>
  </r>
  <r>
    <s v="Gunjan Saxena: The Kargil Girl"/>
    <x v="9"/>
    <d v="2020-08-12T00:00:00"/>
    <n v="112"/>
    <x v="4"/>
  </r>
  <r>
    <s v="Intuition"/>
    <x v="1"/>
    <d v="2020-05-28T00:00:00"/>
    <n v="116"/>
    <x v="1"/>
  </r>
  <r>
    <s v="The Most Assassinated Woman in the World"/>
    <x v="1"/>
    <d v="2018-09-07T00:00:00"/>
    <n v="102"/>
    <x v="10"/>
  </r>
  <r>
    <s v="Things Heard &amp; Seen"/>
    <x v="15"/>
    <d v="2021-04-29T00:00:00"/>
    <n v="121"/>
    <x v="3"/>
  </r>
  <r>
    <s v="To Each, Her Own"/>
    <x v="10"/>
    <d v="2018-06-24T00:00:00"/>
    <n v="95"/>
    <x v="10"/>
  </r>
  <r>
    <s v="Who Would You Take to a Deserted Island?"/>
    <x v="9"/>
    <d v="2019-04-12T00:00:00"/>
    <n v="93"/>
    <x v="1"/>
  </r>
  <r>
    <s v="XOXO"/>
    <x v="9"/>
    <d v="2016-08-26T00:00:00"/>
    <n v="92"/>
    <x v="3"/>
  </r>
  <r>
    <s v="A Babysitter's Guide to Monster Hunting"/>
    <x v="33"/>
    <d v="2020-10-15T00:00:00"/>
    <n v="98"/>
    <x v="3"/>
  </r>
  <r>
    <s v="A Christmas Prince: The Royal Baby"/>
    <x v="10"/>
    <d v="2019-12-05T00:00:00"/>
    <n v="85"/>
    <x v="3"/>
  </r>
  <r>
    <s v="Despite Everything"/>
    <x v="6"/>
    <d v="2019-05-03T00:00:00"/>
    <n v="78"/>
    <x v="1"/>
  </r>
  <r>
    <s v="Dolly Kitty and Those Twinkling Stars"/>
    <x v="9"/>
    <d v="2020-09-18T00:00:00"/>
    <n v="120"/>
    <x v="4"/>
  </r>
  <r>
    <s v="Freaks: You're One of Us"/>
    <x v="34"/>
    <d v="2020-09-02T00:00:00"/>
    <n v="92"/>
    <x v="14"/>
  </r>
  <r>
    <s v="Game Over, Man!"/>
    <x v="35"/>
    <d v="2018-03-23T00:00:00"/>
    <n v="101"/>
    <x v="3"/>
  </r>
  <r>
    <s v="Guilty"/>
    <x v="1"/>
    <d v="2020-03-06T00:00:00"/>
    <n v="119"/>
    <x v="4"/>
  </r>
  <r>
    <s v="In the Tall Grass"/>
    <x v="15"/>
    <d v="2019-10-04T00:00:00"/>
    <n v="101"/>
    <x v="3"/>
  </r>
  <r>
    <s v="Madame Claude"/>
    <x v="9"/>
    <d v="2021-04-02T00:00:00"/>
    <n v="112"/>
    <x v="10"/>
  </r>
  <r>
    <s v="Naked"/>
    <x v="6"/>
    <d v="2017-08-11T00:00:00"/>
    <n v="96"/>
    <x v="3"/>
  </r>
  <r>
    <s v="Outside the Wire"/>
    <x v="36"/>
    <d v="2021-01-15T00:00:00"/>
    <n v="114"/>
    <x v="3"/>
  </r>
  <r>
    <s v="The Princess Switch: Switched Again"/>
    <x v="10"/>
    <d v="2020-11-19T00:00:00"/>
    <n v="97"/>
    <x v="3"/>
  </r>
  <r>
    <s v="Under the Riccione Sun"/>
    <x v="37"/>
    <d v="2020-07-01T00:00:00"/>
    <n v="101"/>
    <x v="2"/>
  </r>
  <r>
    <s v="A Very Murray Christmas"/>
    <x v="38"/>
    <d v="2015-12-04T00:00:00"/>
    <n v="56"/>
    <x v="3"/>
  </r>
  <r>
    <s v="Been So Long"/>
    <x v="39"/>
    <d v="2018-10-26T00:00:00"/>
    <n v="100"/>
    <x v="3"/>
  </r>
  <r>
    <s v="Dead Kids"/>
    <x v="1"/>
    <d v="2019-12-01T00:00:00"/>
    <n v="94"/>
    <x v="13"/>
  </r>
  <r>
    <s v="Get the Grift"/>
    <x v="6"/>
    <d v="2021-04-28T00:00:00"/>
    <n v="94"/>
    <x v="12"/>
  </r>
  <r>
    <s v="Ghosts of Sugar Land"/>
    <x v="0"/>
    <d v="2019-10-16T00:00:00"/>
    <n v="21"/>
    <x v="3"/>
  </r>
  <r>
    <s v="House Arrest"/>
    <x v="6"/>
    <d v="2019-11-15T00:00:00"/>
    <n v="104"/>
    <x v="4"/>
  </r>
  <r>
    <s v="Kevin Hart's Guide to Black History"/>
    <x v="31"/>
    <d v="2019-02-08T00:00:00"/>
    <n v="63"/>
    <x v="3"/>
  </r>
  <r>
    <s v="Love Wedding Repeat"/>
    <x v="10"/>
    <d v="2020-04-10T00:00:00"/>
    <n v="100"/>
    <x v="3"/>
  </r>
  <r>
    <s v="Mute"/>
    <x v="40"/>
    <d v="2018-02-23T00:00:00"/>
    <n v="126"/>
    <x v="3"/>
  </r>
  <r>
    <s v="Òlòt?ré"/>
    <x v="41"/>
    <d v="2020-10-02T00:00:00"/>
    <n v="106"/>
    <x v="3"/>
  </r>
  <r>
    <s v="Red Dot"/>
    <x v="1"/>
    <d v="2021-02-11T00:00:00"/>
    <n v="86"/>
    <x v="19"/>
  </r>
  <r>
    <s v="Ride or Die"/>
    <x v="42"/>
    <d v="2021-04-15T00:00:00"/>
    <n v="142"/>
    <x v="20"/>
  </r>
  <r>
    <s v="Step Sisters"/>
    <x v="6"/>
    <d v="2018-01-19T00:00:00"/>
    <n v="108"/>
    <x v="3"/>
  </r>
  <r>
    <s v="The Cloverfield Paradox"/>
    <x v="30"/>
    <d v="2018-02-04T00:00:00"/>
    <n v="102"/>
    <x v="3"/>
  </r>
  <r>
    <s v="The Knight Before Christmas"/>
    <x v="10"/>
    <d v="2019-11-21T00:00:00"/>
    <n v="92"/>
    <x v="3"/>
  </r>
  <r>
    <s v="The Legacy of a Whitetail Deer Hunter"/>
    <x v="43"/>
    <d v="2018-07-06T00:00:00"/>
    <n v="83"/>
    <x v="3"/>
  </r>
  <r>
    <s v="The Package"/>
    <x v="44"/>
    <d v="2018-08-10T00:00:00"/>
    <n v="94"/>
    <x v="3"/>
  </r>
  <r>
    <s v="Unicorn Store"/>
    <x v="6"/>
    <d v="2019-04-05T00:00:00"/>
    <n v="92"/>
    <x v="3"/>
  </r>
  <r>
    <s v="Wine Country"/>
    <x v="6"/>
    <d v="2019-05-10T00:00:00"/>
    <n v="103"/>
    <x v="3"/>
  </r>
  <r>
    <s v="Bomb Scared"/>
    <x v="44"/>
    <d v="2017-10-12T00:00:00"/>
    <n v="89"/>
    <x v="21"/>
  </r>
  <r>
    <s v="Brahman Naman"/>
    <x v="6"/>
    <d v="2016-07-07T00:00:00"/>
    <n v="95"/>
    <x v="3"/>
  </r>
  <r>
    <s v="Double Dad"/>
    <x v="32"/>
    <d v="2021-01-15T00:00:00"/>
    <n v="103"/>
    <x v="12"/>
  </r>
  <r>
    <s v="Falling Inn Love"/>
    <x v="10"/>
    <d v="2019-08-29T00:00:00"/>
    <n v="97"/>
    <x v="3"/>
  </r>
  <r>
    <s v="Hold the Dark"/>
    <x v="1"/>
    <d v="2018-09-28T00:00:00"/>
    <n v="125"/>
    <x v="3"/>
  </r>
  <r>
    <s v="Love, Guaranteed"/>
    <x v="10"/>
    <d v="2020-09-03T00:00:00"/>
    <n v="91"/>
    <x v="3"/>
  </r>
  <r>
    <s v="One-Way to Tomorrow"/>
    <x v="45"/>
    <d v="2020-06-19T00:00:00"/>
    <n v="90"/>
    <x v="5"/>
  </r>
  <r>
    <s v="Sarah Cooper: Everything's Fine"/>
    <x v="31"/>
    <d v="2020-10-27T00:00:00"/>
    <n v="49"/>
    <x v="3"/>
  </r>
  <r>
    <s v="The Last Laugh"/>
    <x v="32"/>
    <d v="2019-01-11T00:00:00"/>
    <n v="98"/>
    <x v="3"/>
  </r>
  <r>
    <s v="The Last Paradiso"/>
    <x v="25"/>
    <d v="2021-02-05T00:00:00"/>
    <n v="107"/>
    <x v="2"/>
  </r>
  <r>
    <s v="The Midnight Sky"/>
    <x v="30"/>
    <d v="2020-12-23T00:00:00"/>
    <n v="118"/>
    <x v="3"/>
  </r>
  <r>
    <s v="The Paramedic"/>
    <x v="1"/>
    <d v="2020-09-16T00:00:00"/>
    <n v="94"/>
    <x v="1"/>
  </r>
  <r>
    <s v="The Sleepover"/>
    <x v="6"/>
    <d v="2020-08-21T00:00:00"/>
    <n v="103"/>
    <x v="3"/>
  </r>
  <r>
    <s v="Vampires vs. the Bronx"/>
    <x v="46"/>
    <d v="2020-10-02T00:00:00"/>
    <n v="86"/>
    <x v="3"/>
  </r>
  <r>
    <s v="Why Did You Kill Me?"/>
    <x v="0"/>
    <d v="2021-04-14T00:00:00"/>
    <n v="83"/>
    <x v="3"/>
  </r>
  <r>
    <s v="A Week Away"/>
    <x v="47"/>
    <d v="2021-03-26T00:00:00"/>
    <n v="97"/>
    <x v="3"/>
  </r>
  <r>
    <s v="Caught by a Wave"/>
    <x v="48"/>
    <d v="2021-03-25T00:00:00"/>
    <n v="99"/>
    <x v="2"/>
  </r>
  <r>
    <s v="Christmas Inheritance"/>
    <x v="25"/>
    <d v="2017-12-15T00:00:00"/>
    <n v="104"/>
    <x v="3"/>
  </r>
  <r>
    <s v="Dad Wanted"/>
    <x v="49"/>
    <d v="2020-09-11T00:00:00"/>
    <n v="102"/>
    <x v="1"/>
  </r>
  <r>
    <s v="El Camino Christmas"/>
    <x v="50"/>
    <d v="2017-12-08T00:00:00"/>
    <n v="89"/>
    <x v="3"/>
  </r>
  <r>
    <s v="Eli"/>
    <x v="15"/>
    <d v="2019-10-18T00:00:00"/>
    <n v="98"/>
    <x v="3"/>
  </r>
  <r>
    <s v="Ginny Weds Sunny"/>
    <x v="10"/>
    <d v="2020-10-09T00:00:00"/>
    <n v="125"/>
    <x v="4"/>
  </r>
  <r>
    <s v="Good Sam"/>
    <x v="9"/>
    <d v="2019-05-16T00:00:00"/>
    <n v="89"/>
    <x v="3"/>
  </r>
  <r>
    <s v="Lionheart"/>
    <x v="6"/>
    <d v="2019-01-04T00:00:00"/>
    <n v="94"/>
    <x v="3"/>
  </r>
  <r>
    <s v="Little Evil"/>
    <x v="51"/>
    <d v="2017-09-01T00:00:00"/>
    <n v="94"/>
    <x v="3"/>
  </r>
  <r>
    <s v="One Take"/>
    <x v="0"/>
    <d v="2020-06-18T00:00:00"/>
    <n v="85"/>
    <x v="18"/>
  </r>
  <r>
    <s v="Out of Many, One"/>
    <x v="0"/>
    <d v="2018-12-12T00:00:00"/>
    <n v="34"/>
    <x v="3"/>
  </r>
  <r>
    <s v="Point Blank"/>
    <x v="5"/>
    <d v="2019-07-12T00:00:00"/>
    <n v="86"/>
    <x v="3"/>
  </r>
  <r>
    <s v="Prime Time"/>
    <x v="1"/>
    <d v="2021-04-14T00:00:00"/>
    <n v="91"/>
    <x v="15"/>
  </r>
  <r>
    <s v="The Do-Over"/>
    <x v="11"/>
    <d v="2016-05-27T00:00:00"/>
    <n v="108"/>
    <x v="3"/>
  </r>
  <r>
    <s v="The Holiday Calendar"/>
    <x v="10"/>
    <d v="2018-11-02T00:00:00"/>
    <n v="95"/>
    <x v="3"/>
  </r>
  <r>
    <s v="The Woman in the Window"/>
    <x v="52"/>
    <d v="2021-05-14T00:00:00"/>
    <n v="100"/>
    <x v="3"/>
  </r>
  <r>
    <s v="The Wrong Missy"/>
    <x v="6"/>
    <d v="2020-05-13T00:00:00"/>
    <n v="90"/>
    <x v="3"/>
  </r>
  <r>
    <s v="Velvet Buzzsaw"/>
    <x v="1"/>
    <d v="2019-02-01T00:00:00"/>
    <n v="112"/>
    <x v="3"/>
  </r>
  <r>
    <s v="Yes Day"/>
    <x v="6"/>
    <d v="2021-03-12T00:00:00"/>
    <n v="86"/>
    <x v="3"/>
  </r>
  <r>
    <s v="15 August"/>
    <x v="32"/>
    <d v="2019-03-29T00:00:00"/>
    <n v="124"/>
    <x v="17"/>
  </r>
  <r>
    <s v="A California Christmas"/>
    <x v="10"/>
    <d v="2020-12-14T00:00:00"/>
    <n v="107"/>
    <x v="3"/>
  </r>
  <r>
    <s v="A Christmas Prince"/>
    <x v="10"/>
    <d v="2017-11-17T00:00:00"/>
    <n v="92"/>
    <x v="3"/>
  </r>
  <r>
    <s v="All Day and a Night"/>
    <x v="9"/>
    <d v="2020-05-01T00:00:00"/>
    <n v="121"/>
    <x v="3"/>
  </r>
  <r>
    <s v="American Son"/>
    <x v="9"/>
    <d v="2019-11-01T00:00:00"/>
    <n v="90"/>
    <x v="3"/>
  </r>
  <r>
    <s v="Barry"/>
    <x v="53"/>
    <d v="2016-12-16T00:00:00"/>
    <n v="104"/>
    <x v="3"/>
  </r>
  <r>
    <s v="Candy Jar"/>
    <x v="6"/>
    <d v="2018-04-27T00:00:00"/>
    <n v="92"/>
    <x v="3"/>
  </r>
  <r>
    <s v="Choked: Paisa Bolta Hai"/>
    <x v="9"/>
    <d v="2020-06-05T00:00:00"/>
    <n v="114"/>
    <x v="4"/>
  </r>
  <r>
    <s v="Class of '83"/>
    <x v="9"/>
    <d v="2020-08-21T00:00:00"/>
    <n v="98"/>
    <x v="4"/>
  </r>
  <r>
    <s v="Extinction"/>
    <x v="54"/>
    <d v="2018-07-27T00:00:00"/>
    <n v="95"/>
    <x v="3"/>
  </r>
  <r>
    <s v="Happy Anniversary"/>
    <x v="10"/>
    <d v="2018-03-30T00:00:00"/>
    <n v="78"/>
    <x v="3"/>
  </r>
  <r>
    <s v="I Am All Girls"/>
    <x v="1"/>
    <d v="2021-05-14T00:00:00"/>
    <n v="107"/>
    <x v="3"/>
  </r>
  <r>
    <s v="Let It Snow"/>
    <x v="10"/>
    <d v="2019-11-08T00:00:00"/>
    <n v="92"/>
    <x v="3"/>
  </r>
  <r>
    <s v="Mascots"/>
    <x v="55"/>
    <d v="2016-10-13T00:00:00"/>
    <n v="95"/>
    <x v="3"/>
  </r>
  <r>
    <s v="Operation Christmas Drop"/>
    <x v="10"/>
    <d v="2020-11-05T00:00:00"/>
    <n v="96"/>
    <x v="3"/>
  </r>
  <r>
    <s v="Rajma Chawal"/>
    <x v="32"/>
    <d v="2018-11-30T00:00:00"/>
    <n v="118"/>
    <x v="4"/>
  </r>
  <r>
    <s v="Rich in Love"/>
    <x v="10"/>
    <d v="2020-04-30T00:00:00"/>
    <n v="105"/>
    <x v="12"/>
  </r>
  <r>
    <s v="Rising High"/>
    <x v="56"/>
    <d v="2020-04-17T00:00:00"/>
    <n v="94"/>
    <x v="14"/>
  </r>
  <r>
    <s v="Rodney King"/>
    <x v="57"/>
    <d v="2017-04-28T00:00:00"/>
    <n v="52"/>
    <x v="3"/>
  </r>
  <r>
    <s v="Sierra Burgess Is a Loser"/>
    <x v="58"/>
    <d v="2018-09-07T00:00:00"/>
    <n v="105"/>
    <x v="3"/>
  </r>
  <r>
    <s v="Small Crimes"/>
    <x v="50"/>
    <d v="2017-04-28T00:00:00"/>
    <n v="95"/>
    <x v="3"/>
  </r>
  <r>
    <s v="Special Correspondents"/>
    <x v="56"/>
    <d v="2016-04-29T00:00:00"/>
    <n v="100"/>
    <x v="3"/>
  </r>
  <r>
    <s v="TAU"/>
    <x v="54"/>
    <d v="2018-06-29T00:00:00"/>
    <n v="97"/>
    <x v="3"/>
  </r>
  <r>
    <s v="The After Party"/>
    <x v="6"/>
    <d v="2018-08-24T00:00:00"/>
    <n v="89"/>
    <x v="3"/>
  </r>
  <r>
    <s v="The Babysitter: Killer Queen"/>
    <x v="59"/>
    <d v="2020-09-10T00:00:00"/>
    <n v="102"/>
    <x v="3"/>
  </r>
  <r>
    <s v="The Claus Family"/>
    <x v="60"/>
    <d v="2020-12-07T00:00:00"/>
    <n v="96"/>
    <x v="9"/>
  </r>
  <r>
    <s v="The Kissing Booth 2"/>
    <x v="10"/>
    <d v="2020-07-24T00:00:00"/>
    <n v="131"/>
    <x v="3"/>
  </r>
  <r>
    <s v="The Perfect Date"/>
    <x v="10"/>
    <d v="2019-04-12T00:00:00"/>
    <n v="89"/>
    <x v="3"/>
  </r>
  <r>
    <s v="What We Wanted"/>
    <x v="9"/>
    <d v="2020-11-11T00:00:00"/>
    <n v="93"/>
    <x v="14"/>
  </r>
  <r>
    <s v="You've Got This"/>
    <x v="10"/>
    <d v="2020-10-02T00:00:00"/>
    <n v="111"/>
    <x v="1"/>
  </r>
  <r>
    <s v="6 Balloons"/>
    <x v="9"/>
    <d v="2018-04-06T00:00:00"/>
    <n v="75"/>
    <x v="3"/>
  </r>
  <r>
    <s v="A Fall from Grace"/>
    <x v="1"/>
    <d v="2020-01-17T00:00:00"/>
    <n v="120"/>
    <x v="3"/>
  </r>
  <r>
    <s v="Amateur"/>
    <x v="61"/>
    <d v="2018-04-06T00:00:00"/>
    <n v="96"/>
    <x v="3"/>
  </r>
  <r>
    <s v="Army of the Dead"/>
    <x v="62"/>
    <d v="2021-05-21T00:00:00"/>
    <n v="148"/>
    <x v="3"/>
  </r>
  <r>
    <s v="Cam"/>
    <x v="63"/>
    <d v="2018-11-16T00:00:00"/>
    <n v="94"/>
    <x v="3"/>
  </r>
  <r>
    <s v="Earthquake Bird"/>
    <x v="4"/>
    <d v="2019-11-15T00:00:00"/>
    <n v="107"/>
    <x v="3"/>
  </r>
  <r>
    <s v="Frankenstein's Monster's Monster, Frankenstein"/>
    <x v="55"/>
    <d v="2019-07-16T00:00:00"/>
    <n v="32"/>
    <x v="3"/>
  </r>
  <r>
    <s v="Horse Girl"/>
    <x v="9"/>
    <d v="2020-02-07T00:00:00"/>
    <n v="104"/>
    <x v="3"/>
  </r>
  <r>
    <s v="Notes from Dunblane: Lesson from a School Shooting"/>
    <x v="0"/>
    <d v="2018-09-28T00:00:00"/>
    <n v="23"/>
    <x v="3"/>
  </r>
  <r>
    <s v="Maska"/>
    <x v="10"/>
    <d v="2020-03-27T00:00:00"/>
    <n v="111"/>
    <x v="4"/>
  </r>
  <r>
    <s v="The Decline"/>
    <x v="1"/>
    <d v="2020-03-27T00:00:00"/>
    <n v="83"/>
    <x v="10"/>
  </r>
  <r>
    <s v="The Minimalists: Less Is Now"/>
    <x v="0"/>
    <d v="2021-01-01T00:00:00"/>
    <n v="53"/>
    <x v="3"/>
  </r>
  <r>
    <s v="The Polka King"/>
    <x v="32"/>
    <d v="2018-01-12T00:00:00"/>
    <n v="95"/>
    <x v="3"/>
  </r>
  <r>
    <s v="The Prom"/>
    <x v="39"/>
    <d v="2020-12-11T00:00:00"/>
    <n v="132"/>
    <x v="3"/>
  </r>
  <r>
    <s v="True Memoirs of an International Assassin"/>
    <x v="11"/>
    <d v="2016-11-11T00:00:00"/>
    <n v="98"/>
    <x v="3"/>
  </r>
  <r>
    <s v="Ultras"/>
    <x v="64"/>
    <d v="2020-03-20T00:00:00"/>
    <n v="108"/>
    <x v="2"/>
  </r>
  <r>
    <s v="Come Sunday"/>
    <x v="53"/>
    <d v="2018-04-13T00:00:00"/>
    <n v="106"/>
    <x v="3"/>
  </r>
  <r>
    <s v="Forgive Us Our Debts"/>
    <x v="9"/>
    <d v="2018-05-04T00:00:00"/>
    <n v="104"/>
    <x v="2"/>
  </r>
  <r>
    <s v="iBoy"/>
    <x v="54"/>
    <d v="2017-01-27T00:00:00"/>
    <n v="90"/>
    <x v="3"/>
  </r>
  <r>
    <s v="Lovefucked"/>
    <x v="9"/>
    <d v="2019-08-09T00:00:00"/>
    <n v="106"/>
    <x v="4"/>
  </r>
  <r>
    <s v="Juanita"/>
    <x v="9"/>
    <d v="2019-03-08T00:00:00"/>
    <n v="90"/>
    <x v="3"/>
  </r>
  <r>
    <s v="Murder Mystery"/>
    <x v="65"/>
    <d v="2019-06-14T00:00:00"/>
    <n v="97"/>
    <x v="3"/>
  </r>
  <r>
    <s v="Project Power"/>
    <x v="18"/>
    <d v="2020-08-14T00:00:00"/>
    <n v="113"/>
    <x v="3"/>
  </r>
  <r>
    <s v="Rebecca"/>
    <x v="66"/>
    <d v="2020-10-21T00:00:00"/>
    <n v="123"/>
    <x v="3"/>
  </r>
  <r>
    <s v="The Christmas Chronicles: Part Two"/>
    <x v="67"/>
    <d v="2020-11-25T00:00:00"/>
    <n v="115"/>
    <x v="3"/>
  </r>
  <r>
    <s v="The Kissing Booth"/>
    <x v="10"/>
    <d v="2018-05-11T00:00:00"/>
    <n v="105"/>
    <x v="3"/>
  </r>
  <r>
    <s v="The Princess Switch"/>
    <x v="10"/>
    <d v="2018-11-16T00:00:00"/>
    <n v="101"/>
    <x v="3"/>
  </r>
  <r>
    <s v="To All the Boys: P.S. I Still Love You"/>
    <x v="10"/>
    <d v="2020-02-12T00:00:00"/>
    <n v="102"/>
    <x v="3"/>
  </r>
  <r>
    <s v="War Machine"/>
    <x v="68"/>
    <d v="2017-05-26T00:00:00"/>
    <n v="122"/>
    <x v="3"/>
  </r>
  <r>
    <s v="6 Underground"/>
    <x v="5"/>
    <d v="2019-12-13T00:00:00"/>
    <n v="128"/>
    <x v="3"/>
  </r>
  <r>
    <s v="Between Two Ferns: The Movie"/>
    <x v="6"/>
    <d v="2019-09-20T00:00:00"/>
    <n v="82"/>
    <x v="3"/>
  </r>
  <r>
    <s v="Burning Sands"/>
    <x v="9"/>
    <d v="2017-03-10T00:00:00"/>
    <n v="102"/>
    <x v="3"/>
  </r>
  <r>
    <s v="Casting JonBenet"/>
    <x v="0"/>
    <d v="2017-04-28T00:00:00"/>
    <n v="80"/>
    <x v="3"/>
  </r>
  <r>
    <s v="Deidra &amp; Laney Rob a Train"/>
    <x v="9"/>
    <d v="2017-03-17T00:00:00"/>
    <n v="94"/>
    <x v="3"/>
  </r>
  <r>
    <s v="Finding 'Ohana"/>
    <x v="49"/>
    <d v="2021-01-29T00:00:00"/>
    <n v="123"/>
    <x v="3"/>
  </r>
  <r>
    <s v="Holidate"/>
    <x v="69"/>
    <d v="2020-10-28T00:00:00"/>
    <n v="104"/>
    <x v="3"/>
  </r>
  <r>
    <s v="Holiday in the Wild"/>
    <x v="70"/>
    <d v="2019-11-01T00:00:00"/>
    <n v="85"/>
    <x v="3"/>
  </r>
  <r>
    <s v="Hot Girls Wanted"/>
    <x v="0"/>
    <d v="2015-05-29T00:00:00"/>
    <n v="84"/>
    <x v="3"/>
  </r>
  <r>
    <s v="Like Father"/>
    <x v="6"/>
    <d v="2018-08-03T00:00:00"/>
    <n v="103"/>
    <x v="3"/>
  </r>
  <r>
    <s v="Lost Girls"/>
    <x v="41"/>
    <d v="2020-03-13T00:00:00"/>
    <n v="95"/>
    <x v="3"/>
  </r>
  <r>
    <s v="Otherhood"/>
    <x v="6"/>
    <d v="2019-08-02T00:00:00"/>
    <n v="100"/>
    <x v="3"/>
  </r>
  <r>
    <s v="Pee-wee's Big Holiday"/>
    <x v="71"/>
    <d v="2016-03-18T00:00:00"/>
    <n v="89"/>
    <x v="3"/>
  </r>
  <r>
    <s v="Rogue City"/>
    <x v="41"/>
    <d v="2020-10-30T00:00:00"/>
    <n v="116"/>
    <x v="10"/>
  </r>
  <r>
    <s v="Sergio"/>
    <x v="53"/>
    <d v="2020-04-17T00:00:00"/>
    <n v="118"/>
    <x v="3"/>
  </r>
  <r>
    <s v="Stuck Apart"/>
    <x v="9"/>
    <d v="2021-01-08T00:00:00"/>
    <n v="96"/>
    <x v="5"/>
  </r>
  <r>
    <s v="Tersanjung the Movie"/>
    <x v="9"/>
    <d v="2021-04-01T00:00:00"/>
    <n v="114"/>
    <x v="7"/>
  </r>
  <r>
    <s v="The Killer"/>
    <x v="20"/>
    <d v="2017-11-10T00:00:00"/>
    <n v="99"/>
    <x v="12"/>
  </r>
  <r>
    <s v="The Lovebirds"/>
    <x v="10"/>
    <d v="2020-05-22T00:00:00"/>
    <n v="87"/>
    <x v="3"/>
  </r>
  <r>
    <s v="The Most Hated Woman in America"/>
    <x v="53"/>
    <d v="2017-03-24T00:00:00"/>
    <n v="92"/>
    <x v="3"/>
  </r>
  <r>
    <s v="The Perfection"/>
    <x v="72"/>
    <d v="2019-05-24T00:00:00"/>
    <n v="90"/>
    <x v="3"/>
  </r>
  <r>
    <s v="Tribhanga – Tedhi Medhi Crazy"/>
    <x v="9"/>
    <d v="2021-01-15T00:00:00"/>
    <n v="95"/>
    <x v="4"/>
  </r>
  <r>
    <s v="Unknown Origins"/>
    <x v="1"/>
    <d v="2020-08-28T00:00:00"/>
    <n v="96"/>
    <x v="1"/>
  </r>
  <r>
    <s v="Work It"/>
    <x v="73"/>
    <d v="2020-08-07T00:00:00"/>
    <n v="93"/>
    <x v="3"/>
  </r>
  <r>
    <s v="Alien Xmas"/>
    <x v="74"/>
    <d v="2020-11-20T00:00:00"/>
    <n v="42"/>
    <x v="3"/>
  </r>
  <r>
    <s v="Baggio: The Divine Ponytail"/>
    <x v="53"/>
    <d v="2021-05-26T00:00:00"/>
    <n v="92"/>
    <x v="2"/>
  </r>
  <r>
    <s v="Below Zero"/>
    <x v="9"/>
    <d v="2021-01-29T00:00:00"/>
    <n v="106"/>
    <x v="1"/>
  </r>
  <r>
    <s v="Citation"/>
    <x v="9"/>
    <d v="2020-11-06T00:00:00"/>
    <n v="151"/>
    <x v="3"/>
  </r>
  <r>
    <s v="Crazy Awesome Teachers"/>
    <x v="32"/>
    <d v="2020-08-17T00:00:00"/>
    <n v="101"/>
    <x v="7"/>
  </r>
  <r>
    <s v="Have You Ever Seen Fireflies?"/>
    <x v="6"/>
    <d v="2021-04-09T00:00:00"/>
    <n v="114"/>
    <x v="5"/>
  </r>
  <r>
    <s v="High Flying Bird"/>
    <x v="61"/>
    <d v="2019-02-08T00:00:00"/>
    <n v="90"/>
    <x v="3"/>
  </r>
  <r>
    <s v="In the Shadow of the Moon"/>
    <x v="1"/>
    <d v="2019-09-27T00:00:00"/>
    <n v="115"/>
    <x v="3"/>
  </r>
  <r>
    <s v="Lost Bullet"/>
    <x v="1"/>
    <d v="2020-06-19T00:00:00"/>
    <n v="92"/>
    <x v="10"/>
  </r>
  <r>
    <s v="Octonauts &amp; the Caves of Sac Actun"/>
    <x v="26"/>
    <d v="2020-08-14T00:00:00"/>
    <n v="72"/>
    <x v="3"/>
  </r>
  <r>
    <s v="Offering to the Storm"/>
    <x v="1"/>
    <d v="2020-07-24T00:00:00"/>
    <n v="139"/>
    <x v="1"/>
  </r>
  <r>
    <s v="Roxanne Roxanne"/>
    <x v="53"/>
    <d v="2018-03-23T00:00:00"/>
    <n v="98"/>
    <x v="3"/>
  </r>
  <r>
    <s v="Someone Great"/>
    <x v="10"/>
    <d v="2019-04-19T00:00:00"/>
    <n v="92"/>
    <x v="3"/>
  </r>
  <r>
    <s v="Spenser Confidential"/>
    <x v="11"/>
    <d v="2020-03-06T00:00:00"/>
    <n v="111"/>
    <x v="3"/>
  </r>
  <r>
    <s v="The Land of Steady Habits"/>
    <x v="9"/>
    <d v="2018-09-14T00:00:00"/>
    <n v="98"/>
    <x v="3"/>
  </r>
  <r>
    <s v="The Rachel Divide"/>
    <x v="0"/>
    <d v="2018-04-27T00:00:00"/>
    <n v="104"/>
    <x v="3"/>
  </r>
  <r>
    <s v="Voyuer"/>
    <x v="0"/>
    <d v="2017-12-01T00:00:00"/>
    <n v="95"/>
    <x v="3"/>
  </r>
  <r>
    <s v="Win It All"/>
    <x v="6"/>
    <d v="2017-04-07T00:00:00"/>
    <n v="88"/>
    <x v="3"/>
  </r>
  <r>
    <s v="1922"/>
    <x v="75"/>
    <d v="2017-10-20T00:00:00"/>
    <n v="102"/>
    <x v="3"/>
  </r>
  <r>
    <s v="A Tale of Two Kitchens"/>
    <x v="0"/>
    <d v="2019-05-22T00:00:00"/>
    <n v="30"/>
    <x v="11"/>
  </r>
  <r>
    <s v="Alex Strangelove"/>
    <x v="10"/>
    <d v="2018-06-08T00:00:00"/>
    <n v="99"/>
    <x v="3"/>
  </r>
  <r>
    <s v="Apostle"/>
    <x v="72"/>
    <d v="2018-10-12T00:00:00"/>
    <n v="129"/>
    <x v="3"/>
  </r>
  <r>
    <s v="Benji"/>
    <x v="22"/>
    <d v="2018-03-16T00:00:00"/>
    <n v="87"/>
    <x v="3"/>
  </r>
  <r>
    <s v="Bright"/>
    <x v="76"/>
    <d v="2017-12-22T00:00:00"/>
    <n v="117"/>
    <x v="3"/>
  </r>
  <r>
    <s v="Cargo"/>
    <x v="77"/>
    <d v="2018-05-18T00:00:00"/>
    <n v="104"/>
    <x v="3"/>
  </r>
  <r>
    <s v="Concrete Cowboy"/>
    <x v="9"/>
    <d v="2021-04-02T00:00:00"/>
    <n v="111"/>
    <x v="3"/>
  </r>
  <r>
    <s v="Feel the Beat"/>
    <x v="78"/>
    <d v="2020-06-19T00:00:00"/>
    <n v="107"/>
    <x v="3"/>
  </r>
  <r>
    <s v="Get the Goat"/>
    <x v="6"/>
    <d v="2021-03-18T00:00:00"/>
    <n v="97"/>
    <x v="12"/>
  </r>
  <r>
    <s v="I Am Not an Easy Man"/>
    <x v="10"/>
    <d v="2018-04-13T00:00:00"/>
    <n v="98"/>
    <x v="10"/>
  </r>
  <r>
    <s v="June &amp; Kopi"/>
    <x v="9"/>
    <d v="2021-01-28T00:00:00"/>
    <n v="90"/>
    <x v="7"/>
  </r>
  <r>
    <s v="Music Teacher"/>
    <x v="9"/>
    <d v="2019-04-19T00:00:00"/>
    <n v="101"/>
    <x v="4"/>
  </r>
  <r>
    <s v="Nail Bomber: Manhunt"/>
    <x v="0"/>
    <d v="2021-05-26T00:00:00"/>
    <n v="72"/>
    <x v="3"/>
  </r>
  <r>
    <s v="Notes for My Son"/>
    <x v="9"/>
    <d v="2020-11-24T00:00:00"/>
    <n v="83"/>
    <x v="1"/>
  </r>
  <r>
    <s v="Polar"/>
    <x v="5"/>
    <d v="2019-01-25T00:00:00"/>
    <n v="118"/>
    <x v="3"/>
  </r>
  <r>
    <s v="Porta dos Fundos: The Last Hangover"/>
    <x v="6"/>
    <d v="2018-12-21T00:00:00"/>
    <n v="44"/>
    <x v="12"/>
  </r>
  <r>
    <s v="Sand Castle"/>
    <x v="79"/>
    <d v="2017-04-21T00:00:00"/>
    <n v="113"/>
    <x v="3"/>
  </r>
  <r>
    <s v="Shimmer Lake"/>
    <x v="80"/>
    <d v="2017-06-09T00:00:00"/>
    <n v="86"/>
    <x v="3"/>
  </r>
  <r>
    <s v="Spectral"/>
    <x v="81"/>
    <d v="2016-12-09T00:00:00"/>
    <n v="108"/>
    <x v="3"/>
  </r>
  <r>
    <s v="The Babysitter"/>
    <x v="82"/>
    <d v="2017-10-13T00:00:00"/>
    <n v="85"/>
    <x v="3"/>
  </r>
  <r>
    <s v="The Discovery"/>
    <x v="2"/>
    <d v="2017-03-31T00:00:00"/>
    <n v="102"/>
    <x v="3"/>
  </r>
  <r>
    <s v="The Forest of Love"/>
    <x v="9"/>
    <d v="2019-10-11T00:00:00"/>
    <n v="151"/>
    <x v="20"/>
  </r>
  <r>
    <s v="The Laundromat"/>
    <x v="32"/>
    <d v="2019-10-18T00:00:00"/>
    <n v="98"/>
    <x v="3"/>
  </r>
  <r>
    <s v="The Legend of Cocaine Island"/>
    <x v="0"/>
    <d v="2019-03-29T00:00:00"/>
    <n v="87"/>
    <x v="3"/>
  </r>
  <r>
    <s v="The Outsider"/>
    <x v="41"/>
    <d v="2018-03-09T00:00:00"/>
    <n v="120"/>
    <x v="0"/>
  </r>
  <r>
    <s v="Time to Hunt"/>
    <x v="1"/>
    <d v="2020-04-23T00:00:00"/>
    <n v="134"/>
    <x v="6"/>
  </r>
  <r>
    <s v="To All the Boys: Always and Forever"/>
    <x v="10"/>
    <d v="2021-02-12T00:00:00"/>
    <n v="109"/>
    <x v="3"/>
  </r>
  <r>
    <s v="Travis Scott: Look Mom I Can Fly"/>
    <x v="0"/>
    <d v="2019-08-28T00:00:00"/>
    <n v="85"/>
    <x v="3"/>
  </r>
  <r>
    <s v="Uncorked"/>
    <x v="9"/>
    <d v="2020-03-27T00:00:00"/>
    <n v="103"/>
    <x v="3"/>
  </r>
  <r>
    <s v="Anelka: Misunderstood"/>
    <x v="0"/>
    <d v="2020-08-05T00:00:00"/>
    <n v="94"/>
    <x v="10"/>
  </r>
  <r>
    <s v="Ariana Grande: Excuse Me, I Love You"/>
    <x v="83"/>
    <d v="2020-12-21T00:00:00"/>
    <n v="97"/>
    <x v="3"/>
  </r>
  <r>
    <s v="ARQ"/>
    <x v="54"/>
    <d v="2016-09-16T00:00:00"/>
    <n v="88"/>
    <x v="3"/>
  </r>
  <r>
    <s v="Birders"/>
    <x v="0"/>
    <d v="2019-09-25T00:00:00"/>
    <n v="37"/>
    <x v="11"/>
  </r>
  <r>
    <s v="Como Caído del Cielo"/>
    <x v="84"/>
    <d v="2019-12-24T00:00:00"/>
    <n v="112"/>
    <x v="1"/>
  </r>
  <r>
    <s v="First Match"/>
    <x v="61"/>
    <d v="2018-03-30T00:00:00"/>
    <n v="102"/>
    <x v="3"/>
  </r>
  <r>
    <s v="Fractured"/>
    <x v="1"/>
    <d v="2019-10-11T00:00:00"/>
    <n v="100"/>
    <x v="3"/>
  </r>
  <r>
    <s v="Irreplaceable You"/>
    <x v="9"/>
    <d v="2018-02-16T00:00:00"/>
    <n v="96"/>
    <x v="3"/>
  </r>
  <r>
    <s v="Isi &amp; Ossi"/>
    <x v="10"/>
    <d v="2020-02-14T00:00:00"/>
    <n v="113"/>
    <x v="14"/>
  </r>
  <r>
    <s v="John Was Trying to Contact Aliens"/>
    <x v="0"/>
    <d v="2020-08-20T00:00:00"/>
    <n v="16"/>
    <x v="3"/>
  </r>
  <r>
    <s v="Layla Majnun"/>
    <x v="25"/>
    <d v="2021-02-11T00:00:00"/>
    <n v="119"/>
    <x v="7"/>
  </r>
  <r>
    <s v="Murder to Mercy: The Cyntoia Brown Story"/>
    <x v="0"/>
    <d v="2020-04-29T00:00:00"/>
    <n v="97"/>
    <x v="3"/>
  </r>
  <r>
    <s v="My Own Man"/>
    <x v="0"/>
    <d v="2014-12-13T00:00:00"/>
    <n v="81"/>
    <x v="3"/>
  </r>
  <r>
    <s v="Nappily Ever After"/>
    <x v="32"/>
    <d v="2018-09-21T00:00:00"/>
    <n v="98"/>
    <x v="3"/>
  </r>
  <r>
    <s v="Over the Moon"/>
    <x v="85"/>
    <d v="2020-10-23T00:00:00"/>
    <n v="95"/>
    <x v="3"/>
  </r>
  <r>
    <s v="Street Flow"/>
    <x v="9"/>
    <d v="2019-10-12T00:00:00"/>
    <n v="96"/>
    <x v="10"/>
  </r>
  <r>
    <s v="Strong Island"/>
    <x v="0"/>
    <d v="2017-09-15T00:00:00"/>
    <n v="107"/>
    <x v="3"/>
  </r>
  <r>
    <s v="Sturgill Simpson Presents: Sound &amp; Fury"/>
    <x v="86"/>
    <d v="2019-09-27T00:00:00"/>
    <n v="41"/>
    <x v="3"/>
  </r>
  <r>
    <s v="Take Your Pills"/>
    <x v="0"/>
    <d v="2018-03-16T00:00:00"/>
    <n v="87"/>
    <x v="3"/>
  </r>
  <r>
    <s v="The Heartbreak Club"/>
    <x v="32"/>
    <d v="2021-01-14T00:00:00"/>
    <n v="101"/>
    <x v="7"/>
  </r>
  <r>
    <s v="The Mars Generation"/>
    <x v="0"/>
    <d v="2017-05-05T00:00:00"/>
    <n v="97"/>
    <x v="3"/>
  </r>
  <r>
    <s v="The Occupant"/>
    <x v="1"/>
    <d v="2020-03-25T00:00:00"/>
    <n v="103"/>
    <x v="1"/>
  </r>
  <r>
    <s v="The Willoughbys"/>
    <x v="87"/>
    <d v="2020-04-22T00:00:00"/>
    <n v="90"/>
    <x v="3"/>
  </r>
  <r>
    <s v="Triple Frontier"/>
    <x v="23"/>
    <d v="2019-03-13T00:00:00"/>
    <n v="125"/>
    <x v="3"/>
  </r>
  <r>
    <s v="Two Catalonias"/>
    <x v="0"/>
    <d v="2018-09-28T00:00:00"/>
    <n v="116"/>
    <x v="22"/>
  </r>
  <r>
    <s v="Walk. Ride. Rodeo."/>
    <x v="9"/>
    <d v="2019-03-08T00:00:00"/>
    <n v="99"/>
    <x v="3"/>
  </r>
  <r>
    <s v="Wheelman"/>
    <x v="88"/>
    <d v="2017-10-20T00:00:00"/>
    <n v="82"/>
    <x v="3"/>
  </r>
  <r>
    <s v="When We First Met"/>
    <x v="10"/>
    <d v="2018-02-09T00:00:00"/>
    <n v="97"/>
    <x v="3"/>
  </r>
  <r>
    <s v="A 3 Minute Hug"/>
    <x v="0"/>
    <d v="2019-10-28T00:00:00"/>
    <n v="28"/>
    <x v="11"/>
  </r>
  <r>
    <s v="All the Bright Places"/>
    <x v="45"/>
    <d v="2020-02-28T00:00:00"/>
    <n v="108"/>
    <x v="3"/>
  </r>
  <r>
    <s v="All Together Now"/>
    <x v="9"/>
    <d v="2020-08-28T00:00:00"/>
    <n v="93"/>
    <x v="3"/>
  </r>
  <r>
    <s v="Altered Carbon: Resleeved"/>
    <x v="89"/>
    <d v="2020-03-19T00:00:00"/>
    <n v="74"/>
    <x v="20"/>
  </r>
  <r>
    <s v="Antoine Griezmann: The Making of a Legend"/>
    <x v="0"/>
    <d v="2019-03-21T00:00:00"/>
    <n v="60"/>
    <x v="10"/>
  </r>
  <r>
    <s v="Canvas"/>
    <x v="90"/>
    <d v="2020-12-11T00:00:00"/>
    <n v="9"/>
    <x v="3"/>
  </r>
  <r>
    <s v="Chadwick Boseman: Portrait of an Artist"/>
    <x v="0"/>
    <d v="2021-04-17T00:00:00"/>
    <n v="21"/>
    <x v="3"/>
  </r>
  <r>
    <s v="Chopsticks"/>
    <x v="6"/>
    <d v="2019-05-31T00:00:00"/>
    <n v="100"/>
    <x v="4"/>
  </r>
  <r>
    <s v="Da 5 Bloods"/>
    <x v="91"/>
    <d v="2020-06-12T00:00:00"/>
    <n v="155"/>
    <x v="3"/>
  </r>
  <r>
    <s v="Dolly Parton: A MusiCares Tribute"/>
    <x v="0"/>
    <d v="2021-04-07T00:00:00"/>
    <n v="55"/>
    <x v="3"/>
  </r>
  <r>
    <s v="Eurovision Song Contest: The Story of Fire Saga"/>
    <x v="84"/>
    <d v="2020-06-26T00:00:00"/>
    <n v="123"/>
    <x v="3"/>
  </r>
  <r>
    <s v="Gerald's Game"/>
    <x v="3"/>
    <d v="2017-09-29T00:00:00"/>
    <n v="103"/>
    <x v="3"/>
  </r>
  <r>
    <s v="His House"/>
    <x v="1"/>
    <d v="2020-10-30T00:00:00"/>
    <n v="93"/>
    <x v="3"/>
  </r>
  <r>
    <s v="Jingle Jangle: A Christmas Journey"/>
    <x v="92"/>
    <d v="2020-11-13T00:00:00"/>
    <n v="119"/>
    <x v="3"/>
  </r>
  <r>
    <s v="Life Overtakes Me"/>
    <x v="0"/>
    <d v="2019-06-14T00:00:00"/>
    <n v="40"/>
    <x v="23"/>
  </r>
  <r>
    <s v="Lust Stories"/>
    <x v="9"/>
    <d v="2018-06-15T00:00:00"/>
    <n v="120"/>
    <x v="4"/>
  </r>
  <r>
    <s v="Monster"/>
    <x v="9"/>
    <d v="2021-05-07T00:00:00"/>
    <n v="98"/>
    <x v="3"/>
  </r>
  <r>
    <s v="Mowgli: Legend of the Jungle"/>
    <x v="71"/>
    <d v="2018-12-07T00:00:00"/>
    <n v="104"/>
    <x v="3"/>
  </r>
  <r>
    <s v="Nobody Knows I'm Here"/>
    <x v="9"/>
    <d v="2020-06-24T00:00:00"/>
    <n v="91"/>
    <x v="1"/>
  </r>
  <r>
    <s v="Nobody Speak: Trials of the Free Press"/>
    <x v="0"/>
    <d v="2017-06-23T00:00:00"/>
    <n v="95"/>
    <x v="3"/>
  </r>
  <r>
    <s v="Oxygen"/>
    <x v="93"/>
    <d v="2021-05-12T00:00:00"/>
    <n v="101"/>
    <x v="10"/>
  </r>
  <r>
    <s v="Set It Up"/>
    <x v="10"/>
    <d v="2018-06-15T00:00:00"/>
    <n v="105"/>
    <x v="3"/>
  </r>
  <r>
    <s v="The Incredible Jessica James"/>
    <x v="6"/>
    <d v="2017-07-28T00:00:00"/>
    <n v="83"/>
    <x v="3"/>
  </r>
  <r>
    <s v="Tigertail"/>
    <x v="9"/>
    <d v="2020-04-10T00:00:00"/>
    <n v="91"/>
    <x v="24"/>
  </r>
  <r>
    <s v="Tramps"/>
    <x v="45"/>
    <d v="2017-04-21T00:00:00"/>
    <n v="83"/>
    <x v="3"/>
  </r>
  <r>
    <s v="What Did Jack Do?"/>
    <x v="94"/>
    <d v="2020-01-20T00:00:00"/>
    <n v="17"/>
    <x v="3"/>
  </r>
  <r>
    <s v="Bad Trip"/>
    <x v="95"/>
    <d v="2021-03-26T00:00:00"/>
    <n v="86"/>
    <x v="3"/>
  </r>
  <r>
    <s v="Bird Box"/>
    <x v="52"/>
    <d v="2018-12-21T00:00:00"/>
    <n v="124"/>
    <x v="3"/>
  </r>
  <r>
    <s v="Bulbbul"/>
    <x v="15"/>
    <d v="2020-06-24T00:00:00"/>
    <n v="94"/>
    <x v="4"/>
  </r>
  <r>
    <s v="Crazy About Her"/>
    <x v="10"/>
    <d v="2021-02-26T00:00:00"/>
    <n v="102"/>
    <x v="1"/>
  </r>
  <r>
    <s v="Elisa &amp; Marcela"/>
    <x v="45"/>
    <d v="2019-06-07T00:00:00"/>
    <n v="118"/>
    <x v="1"/>
  </r>
  <r>
    <s v="I'll Sleep When I'm Dead"/>
    <x v="0"/>
    <d v="2016-08-19T00:00:00"/>
    <n v="79"/>
    <x v="3"/>
  </r>
  <r>
    <s v="I'm Thinking of Ending Things"/>
    <x v="52"/>
    <d v="2020-09-04T00:00:00"/>
    <n v="134"/>
    <x v="3"/>
  </r>
  <r>
    <s v="It Takes a Lunatic"/>
    <x v="0"/>
    <d v="2019-10-25T00:00:00"/>
    <n v="126"/>
    <x v="3"/>
  </r>
  <r>
    <s v="Milestone"/>
    <x v="9"/>
    <d v="2021-05-07T00:00:00"/>
    <n v="98"/>
    <x v="4"/>
  </r>
  <r>
    <s v="Recovery Boys"/>
    <x v="0"/>
    <d v="2018-06-29T00:00:00"/>
    <n v="89"/>
    <x v="3"/>
  </r>
  <r>
    <s v="ReMastered: Who Killed Jam Master Jay?"/>
    <x v="0"/>
    <d v="2018-12-07T00:00:00"/>
    <n v="58"/>
    <x v="3"/>
  </r>
  <r>
    <s v="Shawn Mendes: In Wonder"/>
    <x v="0"/>
    <d v="2020-11-23T00:00:00"/>
    <n v="83"/>
    <x v="3"/>
  </r>
  <r>
    <s v="Space Sweepers"/>
    <x v="30"/>
    <d v="2021-02-05T00:00:00"/>
    <n v="136"/>
    <x v="6"/>
  </r>
  <r>
    <s v="The American Meme"/>
    <x v="0"/>
    <d v="2018-12-07T00:00:00"/>
    <n v="98"/>
    <x v="3"/>
  </r>
  <r>
    <s v="The Angel"/>
    <x v="96"/>
    <d v="2018-09-14T00:00:00"/>
    <n v="114"/>
    <x v="3"/>
  </r>
  <r>
    <s v="The Crimes That Bind"/>
    <x v="41"/>
    <d v="2020-08-20T00:00:00"/>
    <n v="99"/>
    <x v="1"/>
  </r>
  <r>
    <s v="The Red Sea Diving Resort"/>
    <x v="96"/>
    <d v="2019-07-31T00:00:00"/>
    <n v="130"/>
    <x v="3"/>
  </r>
  <r>
    <s v="What Would Sophia Loren Do?"/>
    <x v="0"/>
    <d v="2021-01-15T00:00:00"/>
    <n v="32"/>
    <x v="3"/>
  </r>
  <r>
    <s v="A Whisker Away"/>
    <x v="97"/>
    <d v="2020-06-18T00:00:00"/>
    <n v="104"/>
    <x v="20"/>
  </r>
  <r>
    <s v="Ajeeb Daastaans"/>
    <x v="9"/>
    <d v="2021-04-16T00:00:00"/>
    <n v="142"/>
    <x v="4"/>
  </r>
  <r>
    <s v="Arlo the Alligator Boy"/>
    <x v="98"/>
    <d v="2021-04-16T00:00:00"/>
    <n v="92"/>
    <x v="3"/>
  </r>
  <r>
    <s v="Bikram: Yogi, Guru, Predator"/>
    <x v="0"/>
    <d v="2019-11-20T00:00:00"/>
    <n v="86"/>
    <x v="3"/>
  </r>
  <r>
    <s v="Blame!"/>
    <x v="89"/>
    <d v="2017-05-20T00:00:00"/>
    <n v="106"/>
    <x v="20"/>
  </r>
  <r>
    <s v="Blue Miracle"/>
    <x v="9"/>
    <d v="2021-05-27T00:00:00"/>
    <n v="95"/>
    <x v="3"/>
  </r>
  <r>
    <s v="CounterPunch"/>
    <x v="0"/>
    <d v="2017-06-16T00:00:00"/>
    <n v="91"/>
    <x v="3"/>
  </r>
  <r>
    <s v="Crack: Cocaine, Corruption &amp; Conspiracy"/>
    <x v="0"/>
    <d v="2021-01-11T00:00:00"/>
    <n v="89"/>
    <x v="3"/>
  </r>
  <r>
    <s v="Extraction"/>
    <x v="5"/>
    <d v="2020-04-24T00:00:00"/>
    <n v="117"/>
    <x v="3"/>
  </r>
  <r>
    <s v="Giving Voice"/>
    <x v="0"/>
    <d v="2020-12-11T00:00:00"/>
    <n v="90"/>
    <x v="3"/>
  </r>
  <r>
    <s v="Hillbilly Elegy"/>
    <x v="9"/>
    <d v="2020-11-24T00:00:00"/>
    <n v="117"/>
    <x v="3"/>
  </r>
  <r>
    <s v="Hope Frozen: A Quest to Live Twice"/>
    <x v="0"/>
    <d v="2020-09-15T00:00:00"/>
    <n v="80"/>
    <x v="25"/>
  </r>
  <r>
    <s v="Imperial Dreams"/>
    <x v="9"/>
    <d v="2017-02-03T00:00:00"/>
    <n v="87"/>
    <x v="3"/>
  </r>
  <r>
    <s v="Just Another Christmas"/>
    <x v="6"/>
    <d v="2020-12-03T00:00:00"/>
    <n v="101"/>
    <x v="12"/>
  </r>
  <r>
    <s v="Little Miss Sumo"/>
    <x v="0"/>
    <d v="2019-10-28T00:00:00"/>
    <n v="19"/>
    <x v="20"/>
  </r>
  <r>
    <s v="Malcolm &amp; Marie"/>
    <x v="25"/>
    <d v="2021-02-05T00:00:00"/>
    <n v="106"/>
    <x v="3"/>
  </r>
  <r>
    <s v="Michael Bolton's Big, Sexy, Valentine's Day Special"/>
    <x v="31"/>
    <d v="2017-02-07T00:00:00"/>
    <n v="54"/>
    <x v="3"/>
  </r>
  <r>
    <s v="Moxie"/>
    <x v="9"/>
    <d v="2021-03-03T00:00:00"/>
    <n v="111"/>
    <x v="3"/>
  </r>
  <r>
    <s v="Night in Paradise"/>
    <x v="9"/>
    <d v="2021-04-09T00:00:00"/>
    <n v="132"/>
    <x v="6"/>
  </r>
  <r>
    <s v="Paper Lives"/>
    <x v="9"/>
    <d v="2021-03-12T00:00:00"/>
    <n v="97"/>
    <x v="5"/>
  </r>
  <r>
    <s v="Parchis: The Documentary"/>
    <x v="0"/>
    <d v="2019-07-10T00:00:00"/>
    <n v="106"/>
    <x v="1"/>
  </r>
  <r>
    <s v="Tallulah"/>
    <x v="32"/>
    <d v="2016-07-29T00:00:00"/>
    <n v="111"/>
    <x v="3"/>
  </r>
  <r>
    <s v="The Old Guard"/>
    <x v="99"/>
    <d v="2020-07-10T00:00:00"/>
    <n v="124"/>
    <x v="3"/>
  </r>
  <r>
    <s v="Tony Robbins: I Am Not Your Guru"/>
    <x v="0"/>
    <d v="2016-07-15T00:00:00"/>
    <n v="116"/>
    <x v="3"/>
  </r>
  <r>
    <s v="Upstarts"/>
    <x v="9"/>
    <d v="2019-10-18T00:00:00"/>
    <n v="112"/>
    <x v="4"/>
  </r>
  <r>
    <s v="22 July"/>
    <x v="9"/>
    <d v="2018-10-10T00:00:00"/>
    <n v="144"/>
    <x v="3"/>
  </r>
  <r>
    <s v="7 años"/>
    <x v="9"/>
    <d v="2016-10-28T00:00:00"/>
    <n v="76"/>
    <x v="1"/>
  </r>
  <r>
    <s v="A Futile and Stupid Gesture"/>
    <x v="100"/>
    <d v="2018-01-26T00:00:00"/>
    <n v="101"/>
    <x v="3"/>
  </r>
  <r>
    <s v="A Life of Speed: The Juan Manuel Fangio Story"/>
    <x v="0"/>
    <d v="2020-03-20T00:00:00"/>
    <n v="92"/>
    <x v="1"/>
  </r>
  <r>
    <s v="A Love Song for Latasha"/>
    <x v="0"/>
    <d v="2020-09-21T00:00:00"/>
    <n v="19"/>
    <x v="3"/>
  </r>
  <r>
    <s v="All in My Family"/>
    <x v="0"/>
    <d v="2019-05-03T00:00:00"/>
    <n v="39"/>
    <x v="26"/>
  </r>
  <r>
    <s v="Always Be My Maybe"/>
    <x v="10"/>
    <d v="2019-05-31T00:00:00"/>
    <n v="102"/>
    <x v="3"/>
  </r>
  <r>
    <s v="Becoming"/>
    <x v="0"/>
    <d v="2020-05-06T00:00:00"/>
    <n v="89"/>
    <x v="3"/>
  </r>
  <r>
    <s v="Long Live Brij Mohan"/>
    <x v="6"/>
    <d v="2018-08-03T00:00:00"/>
    <n v="105"/>
    <x v="4"/>
  </r>
  <r>
    <s v="Calibre"/>
    <x v="1"/>
    <d v="2018-06-29T00:00:00"/>
    <n v="101"/>
    <x v="3"/>
  </r>
  <r>
    <s v="Death to 2020"/>
    <x v="6"/>
    <d v="2020-12-27T00:00:00"/>
    <n v="70"/>
    <x v="3"/>
  </r>
  <r>
    <s v="GIMS: On the Record"/>
    <x v="0"/>
    <d v="2020-09-17T00:00:00"/>
    <n v="96"/>
    <x v="10"/>
  </r>
  <r>
    <s v="Have a Good Trip: Adventures in Psychedelics"/>
    <x v="0"/>
    <d v="2020-05-11T00:00:00"/>
    <n v="85"/>
    <x v="3"/>
  </r>
  <r>
    <s v="Heroin(e)"/>
    <x v="0"/>
    <d v="2017-09-12T00:00:00"/>
    <n v="39"/>
    <x v="3"/>
  </r>
  <r>
    <s v="Mercury 13"/>
    <x v="0"/>
    <d v="2018-04-20T00:00:00"/>
    <n v="79"/>
    <x v="3"/>
  </r>
  <r>
    <s v="Saving Capitalism"/>
    <x v="0"/>
    <d v="2017-11-21T00:00:00"/>
    <n v="73"/>
    <x v="3"/>
  </r>
  <r>
    <s v="Serious Men"/>
    <x v="9"/>
    <d v="2020-10-02T00:00:00"/>
    <n v="114"/>
    <x v="4"/>
  </r>
  <r>
    <s v="The Boys in the Band"/>
    <x v="9"/>
    <d v="2020-09-30T00:00:00"/>
    <n v="121"/>
    <x v="3"/>
  </r>
  <r>
    <s v="The Boys in the Band: Something Personal"/>
    <x v="27"/>
    <d v="2020-09-30T00:00:00"/>
    <n v="28"/>
    <x v="3"/>
  </r>
  <r>
    <s v="The Life Ahead"/>
    <x v="9"/>
    <d v="2020-11-13T00:00:00"/>
    <n v="95"/>
    <x v="2"/>
  </r>
  <r>
    <s v="The Other Side of the Wind"/>
    <x v="9"/>
    <d v="2018-11-02T00:00:00"/>
    <n v="122"/>
    <x v="3"/>
  </r>
  <r>
    <s v="The Trader"/>
    <x v="0"/>
    <d v="2018-02-09T00:00:00"/>
    <n v="23"/>
    <x v="27"/>
  </r>
  <r>
    <s v="To the Bone"/>
    <x v="9"/>
    <d v="2017-07-14T00:00:00"/>
    <n v="107"/>
    <x v="3"/>
  </r>
  <r>
    <s v="Tony Parker: The Final Shot"/>
    <x v="0"/>
    <d v="2021-01-06T00:00:00"/>
    <n v="98"/>
    <x v="10"/>
  </r>
  <r>
    <s v="AK vs AK"/>
    <x v="1"/>
    <d v="2020-12-24T00:00:00"/>
    <n v="108"/>
    <x v="4"/>
  </r>
  <r>
    <s v="Amanda Knox"/>
    <x v="0"/>
    <d v="2016-09-30T00:00:00"/>
    <n v="92"/>
    <x v="3"/>
  </r>
  <r>
    <s v="Bigflo &amp; Oil: Hip Hop Frenzy"/>
    <x v="0"/>
    <d v="2020-10-08T00:00:00"/>
    <n v="100"/>
    <x v="10"/>
  </r>
  <r>
    <s v="Biggie: I Got a Story to Tell"/>
    <x v="0"/>
    <d v="2021-03-01T00:00:00"/>
    <n v="97"/>
    <x v="3"/>
  </r>
  <r>
    <s v="Cops and Robbers"/>
    <x v="90"/>
    <d v="2020-12-28T00:00:00"/>
    <n v="7"/>
    <x v="3"/>
  </r>
  <r>
    <s v="I Don't Feel at Home in This World Anymore"/>
    <x v="9"/>
    <d v="2017-02-24T00:00:00"/>
    <n v="96"/>
    <x v="3"/>
  </r>
  <r>
    <s v="Laerte-se"/>
    <x v="0"/>
    <d v="2017-05-19T00:00:00"/>
    <n v="100"/>
    <x v="12"/>
  </r>
  <r>
    <s v="Mank"/>
    <x v="53"/>
    <d v="2020-12-04T00:00:00"/>
    <n v="132"/>
    <x v="3"/>
  </r>
  <r>
    <s v="Our Souls at Night"/>
    <x v="45"/>
    <d v="2017-09-29T00:00:00"/>
    <n v="103"/>
    <x v="3"/>
  </r>
  <r>
    <s v="Outlaw King"/>
    <x v="101"/>
    <d v="2018-11-09T00:00:00"/>
    <n v="121"/>
    <x v="3"/>
  </r>
  <r>
    <s v="Pagglait"/>
    <x v="32"/>
    <d v="2021-03-26T00:00:00"/>
    <n v="114"/>
    <x v="4"/>
  </r>
  <r>
    <s v="ReMastered: Who Shot the Sheriff?"/>
    <x v="0"/>
    <d v="2018-10-12T00:00:00"/>
    <n v="57"/>
    <x v="3"/>
  </r>
  <r>
    <s v="Seeing Allred"/>
    <x v="0"/>
    <d v="2018-02-09T00:00:00"/>
    <n v="95"/>
    <x v="3"/>
  </r>
  <r>
    <s v="Spelling the Dream"/>
    <x v="0"/>
    <d v="2020-06-03T00:00:00"/>
    <n v="83"/>
    <x v="3"/>
  </r>
  <r>
    <s v="The Claudia Kishi Club"/>
    <x v="0"/>
    <d v="2020-07-10T00:00:00"/>
    <n v="17"/>
    <x v="3"/>
  </r>
  <r>
    <s v="The Half of It"/>
    <x v="45"/>
    <d v="2020-05-01T00:00:00"/>
    <n v="105"/>
    <x v="3"/>
  </r>
  <r>
    <s v="The Highwaymen"/>
    <x v="41"/>
    <d v="2019-03-29T00:00:00"/>
    <n v="131"/>
    <x v="3"/>
  </r>
  <r>
    <s v="The Lonely Island Presents: The Unauthorized Bash Brothers Experience"/>
    <x v="38"/>
    <d v="2019-05-23T00:00:00"/>
    <n v="30"/>
    <x v="3"/>
  </r>
  <r>
    <s v="The Meyerowitz Stories (New and Selected)"/>
    <x v="32"/>
    <d v="2017-10-13T00:00:00"/>
    <n v="112"/>
    <x v="3"/>
  </r>
  <r>
    <s v="Feminists: What Were They Thinking?"/>
    <x v="0"/>
    <d v="2018-10-12T00:00:00"/>
    <n v="86"/>
    <x v="3"/>
  </r>
  <r>
    <s v="Gaga: Five Foot Two"/>
    <x v="0"/>
    <d v="2017-09-22T00:00:00"/>
    <n v="100"/>
    <x v="3"/>
  </r>
  <r>
    <s v="I'm No Longer Here: A Discussion with Guillermo del Toro and Alfonso Cuaron"/>
    <x v="27"/>
    <d v="2020-11-03T00:00:00"/>
    <n v="14"/>
    <x v="3"/>
  </r>
  <r>
    <s v="Kingdom of Us"/>
    <x v="0"/>
    <d v="2017-10-13T00:00:00"/>
    <n v="109"/>
    <x v="3"/>
  </r>
  <r>
    <s v="Lorena, Light-Footed Woman"/>
    <x v="0"/>
    <d v="2019-11-20T00:00:00"/>
    <n v="28"/>
    <x v="1"/>
  </r>
  <r>
    <s v="Los Tigres del Norte at Folsom Prison"/>
    <x v="0"/>
    <d v="2019-09-15T00:00:00"/>
    <n v="64"/>
    <x v="1"/>
  </r>
  <r>
    <s v="Ma Rainey's Black Bottom"/>
    <x v="9"/>
    <d v="2020-12-18T00:00:00"/>
    <n v="94"/>
    <x v="3"/>
  </r>
  <r>
    <s v="Ma Rainey's Black Bottom: A Legacy Brought to Screen"/>
    <x v="27"/>
    <d v="2020-12-18T00:00:00"/>
    <n v="31"/>
    <x v="3"/>
  </r>
  <r>
    <s v="Operation Varsity Blues: The College Admissions Scandal"/>
    <x v="0"/>
    <d v="2021-03-17T00:00:00"/>
    <n v="99"/>
    <x v="3"/>
  </r>
  <r>
    <s v="Pele"/>
    <x v="0"/>
    <d v="2021-02-23T00:00:00"/>
    <n v="108"/>
    <x v="3"/>
  </r>
  <r>
    <s v="ReMastered: Devil at the Crossroads"/>
    <x v="0"/>
    <d v="2019-04-26T00:00:00"/>
    <n v="48"/>
    <x v="3"/>
  </r>
  <r>
    <s v="ReMastered: The Lion's Share"/>
    <x v="0"/>
    <d v="2019-05-17T00:00:00"/>
    <n v="84"/>
    <x v="3"/>
  </r>
  <r>
    <s v="ReMastered: The Miami Showband Massacre"/>
    <x v="0"/>
    <d v="2019-03-22T00:00:00"/>
    <n v="70"/>
    <x v="3"/>
  </r>
  <r>
    <s v="Resurface"/>
    <x v="0"/>
    <d v="2017-09-01T00:00:00"/>
    <n v="27"/>
    <x v="3"/>
  </r>
  <r>
    <s v="Rocko's Modern Life: Static Cling"/>
    <x v="102"/>
    <d v="2019-08-09T00:00:00"/>
    <n v="45"/>
    <x v="3"/>
  </r>
  <r>
    <s v="Rose Island"/>
    <x v="6"/>
    <d v="2020-12-09T00:00:00"/>
    <n v="117"/>
    <x v="2"/>
  </r>
  <r>
    <s v="The Christmas Chronicles"/>
    <x v="103"/>
    <d v="2018-11-22T00:00:00"/>
    <n v="104"/>
    <x v="3"/>
  </r>
  <r>
    <s v="The Dirt"/>
    <x v="53"/>
    <d v="2019-03-22T00:00:00"/>
    <n v="108"/>
    <x v="3"/>
  </r>
  <r>
    <s v="The Night Comes for Us"/>
    <x v="23"/>
    <d v="2018-10-19T00:00:00"/>
    <n v="121"/>
    <x v="7"/>
  </r>
  <r>
    <s v="13th: A Conversation with Oprah Winfrey &amp; Ava DuVernay"/>
    <x v="27"/>
    <d v="2017-01-26T00:00:00"/>
    <n v="36"/>
    <x v="3"/>
  </r>
  <r>
    <s v="Angela's Christmas"/>
    <x v="26"/>
    <d v="2018-11-30T00:00:00"/>
    <n v="30"/>
    <x v="3"/>
  </r>
  <r>
    <s v="Angela's Christmas Wish"/>
    <x v="26"/>
    <d v="2020-12-01T00:00:00"/>
    <n v="47"/>
    <x v="3"/>
  </r>
  <r>
    <s v="Beats"/>
    <x v="9"/>
    <d v="2019-06-19T00:00:00"/>
    <n v="110"/>
    <x v="3"/>
  </r>
  <r>
    <s v="Circus of Books"/>
    <x v="0"/>
    <d v="2020-04-22T00:00:00"/>
    <n v="92"/>
    <x v="3"/>
  </r>
  <r>
    <s v="Dance Dreams: Hot Chocolate Nutcracker"/>
    <x v="0"/>
    <d v="2020-11-27T00:00:00"/>
    <n v="80"/>
    <x v="3"/>
  </r>
  <r>
    <s v="Derren Brown: Sacrifice"/>
    <x v="104"/>
    <d v="2018-10-19T00:00:00"/>
    <n v="49"/>
    <x v="3"/>
  </r>
  <r>
    <s v="El Pepe: A Supreme Life"/>
    <x v="0"/>
    <d v="2019-12-27T00:00:00"/>
    <n v="73"/>
    <x v="1"/>
  </r>
  <r>
    <s v="End Game"/>
    <x v="0"/>
    <d v="2018-05-04T00:00:00"/>
    <n v="40"/>
    <x v="3"/>
  </r>
  <r>
    <s v="Evelyn"/>
    <x v="0"/>
    <d v="2019-09-10T00:00:00"/>
    <n v="96"/>
    <x v="3"/>
  </r>
  <r>
    <s v="Ferry"/>
    <x v="41"/>
    <d v="2021-05-14T00:00:00"/>
    <n v="106"/>
    <x v="9"/>
  </r>
  <r>
    <s v="Grass Is Greener"/>
    <x v="0"/>
    <d v="2019-04-20T00:00:00"/>
    <n v="97"/>
    <x v="3"/>
  </r>
  <r>
    <s v="Guillermo Vilas: Settling the Score"/>
    <x v="0"/>
    <d v="2020-10-27T00:00:00"/>
    <n v="94"/>
    <x v="1"/>
  </r>
  <r>
    <s v="Joshua: Teenager vs. Superpower"/>
    <x v="0"/>
    <d v="2017-05-26T00:00:00"/>
    <n v="78"/>
    <x v="3"/>
  </r>
  <r>
    <s v="Keith Richards: Under the Influence"/>
    <x v="0"/>
    <d v="2015-09-18T00:00:00"/>
    <n v="81"/>
    <x v="3"/>
  </r>
  <r>
    <s v="Knock Down the House"/>
    <x v="0"/>
    <d v="2019-05-01T00:00:00"/>
    <n v="87"/>
    <x v="3"/>
  </r>
  <r>
    <s v="Loudon Wainwright III: Surviving Twin"/>
    <x v="57"/>
    <d v="2018-11-13T00:00:00"/>
    <n v="91"/>
    <x v="3"/>
  </r>
  <r>
    <s v="My Beautiful Broken Brain"/>
    <x v="0"/>
    <d v="2016-03-18T00:00:00"/>
    <n v="91"/>
    <x v="3"/>
  </r>
  <r>
    <s v="One of Us"/>
    <x v="0"/>
    <d v="2017-10-20T00:00:00"/>
    <n v="95"/>
    <x v="3"/>
  </r>
  <r>
    <s v="Pieces of a Woman"/>
    <x v="9"/>
    <d v="2021-01-07T00:00:00"/>
    <n v="126"/>
    <x v="3"/>
  </r>
  <r>
    <s v="Ram Dass, Going Home"/>
    <x v="0"/>
    <d v="2018-04-06T00:00:00"/>
    <n v="31"/>
    <x v="3"/>
  </r>
  <r>
    <s v="ReMastered: Tricky Dick &amp; the Man in Black"/>
    <x v="0"/>
    <d v="2018-11-02T00:00:00"/>
    <n v="58"/>
    <x v="3"/>
  </r>
  <r>
    <s v="Rooting for Roona"/>
    <x v="0"/>
    <d v="2020-10-15T00:00:00"/>
    <n v="41"/>
    <x v="28"/>
  </r>
  <r>
    <s v="The Devil All the Time"/>
    <x v="52"/>
    <d v="2020-09-16T00:00:00"/>
    <n v="138"/>
    <x v="3"/>
  </r>
  <r>
    <s v="The Dig"/>
    <x v="9"/>
    <d v="2021-01-29T00:00:00"/>
    <n v="112"/>
    <x v="3"/>
  </r>
  <r>
    <s v="The Great Hack"/>
    <x v="0"/>
    <d v="2019-07-24T00:00:00"/>
    <n v="114"/>
    <x v="3"/>
  </r>
  <r>
    <s v="The White Tiger"/>
    <x v="9"/>
    <d v="2021-01-22T00:00:00"/>
    <n v="125"/>
    <x v="3"/>
  </r>
  <r>
    <s v="To All the Boys I've Loved Before"/>
    <x v="10"/>
    <d v="2018-08-17T00:00:00"/>
    <n v="99"/>
    <x v="3"/>
  </r>
  <r>
    <s v="American Murder: The Family Next Door"/>
    <x v="0"/>
    <d v="2020-09-30T00:00:00"/>
    <n v="82"/>
    <x v="3"/>
  </r>
  <r>
    <s v="Audrie &amp; Daisy"/>
    <x v="0"/>
    <d v="2016-09-23T00:00:00"/>
    <n v="98"/>
    <x v="3"/>
  </r>
  <r>
    <s v="First They Killed My Father"/>
    <x v="9"/>
    <d v="2017-09-15T00:00:00"/>
    <n v="136"/>
    <x v="29"/>
  </r>
  <r>
    <s v="Fyre: The Greatest Party That Never Happened"/>
    <x v="0"/>
    <d v="2019-01-18T00:00:00"/>
    <n v="97"/>
    <x v="3"/>
  </r>
  <r>
    <s v="Into the Inferno"/>
    <x v="0"/>
    <d v="2016-10-28T00:00:00"/>
    <n v="107"/>
    <x v="3"/>
  </r>
  <r>
    <s v="LA Originals"/>
    <x v="0"/>
    <d v="2020-04-10T00:00:00"/>
    <n v="92"/>
    <x v="3"/>
  </r>
  <r>
    <s v="Ladies First"/>
    <x v="0"/>
    <d v="2018-03-08T00:00:00"/>
    <n v="39"/>
    <x v="30"/>
  </r>
  <r>
    <s v="Love per Square Foot"/>
    <x v="10"/>
    <d v="2018-02-14T00:00:00"/>
    <n v="133"/>
    <x v="4"/>
  </r>
  <r>
    <s v="Paddleton"/>
    <x v="105"/>
    <d v="2019-02-22T00:00:00"/>
    <n v="89"/>
    <x v="3"/>
  </r>
  <r>
    <s v="Private Life"/>
    <x v="9"/>
    <d v="2018-10-05T00:00:00"/>
    <n v="124"/>
    <x v="3"/>
  </r>
  <r>
    <s v="Seventeen"/>
    <x v="106"/>
    <d v="2019-10-18T00:00:00"/>
    <n v="99"/>
    <x v="1"/>
  </r>
  <r>
    <s v="Sometimes"/>
    <x v="9"/>
    <d v="2018-05-01T00:00:00"/>
    <n v="101"/>
    <x v="31"/>
  </r>
  <r>
    <s v="Soni"/>
    <x v="41"/>
    <d v="2019-01-18T00:00:00"/>
    <n v="97"/>
    <x v="4"/>
  </r>
  <r>
    <s v="The 40-Year-Old Version"/>
    <x v="6"/>
    <d v="2020-10-09T00:00:00"/>
    <n v="124"/>
    <x v="3"/>
  </r>
  <r>
    <s v="The Disciple"/>
    <x v="9"/>
    <d v="2021-04-30T00:00:00"/>
    <n v="129"/>
    <x v="17"/>
  </r>
  <r>
    <s v="The Edge of Democracy"/>
    <x v="0"/>
    <d v="2019-06-19T00:00:00"/>
    <n v="121"/>
    <x v="12"/>
  </r>
  <r>
    <s v="The King"/>
    <x v="107"/>
    <d v="2019-11-01T00:00:00"/>
    <n v="140"/>
    <x v="3"/>
  </r>
  <r>
    <s v="The Road to El Camino: A Breaking Bad Movie"/>
    <x v="108"/>
    <d v="2019-10-29T00:00:00"/>
    <n v="13"/>
    <x v="3"/>
  </r>
  <r>
    <s v="The Siege of Jadotville"/>
    <x v="79"/>
    <d v="2016-10-07T00:00:00"/>
    <n v="108"/>
    <x v="3"/>
  </r>
  <r>
    <s v="Zion"/>
    <x v="0"/>
    <d v="2018-08-10T00:00:00"/>
    <n v="11"/>
    <x v="3"/>
  </r>
  <r>
    <s v="Dolemite Is My Name"/>
    <x v="53"/>
    <d v="2019-10-25T00:00:00"/>
    <n v="118"/>
    <x v="3"/>
  </r>
  <r>
    <s v="El Camino: A Breaking Bad Movie"/>
    <x v="41"/>
    <d v="2019-10-11T00:00:00"/>
    <n v="121"/>
    <x v="3"/>
  </r>
  <r>
    <s v="Extremis"/>
    <x v="0"/>
    <d v="2016-09-13T00:00:00"/>
    <n v="24"/>
    <x v="3"/>
  </r>
  <r>
    <s v="Father Soldier Son"/>
    <x v="0"/>
    <d v="2020-07-17T00:00:00"/>
    <n v="100"/>
    <x v="3"/>
  </r>
  <r>
    <s v="Get Me Roger Stone"/>
    <x v="0"/>
    <d v="2017-05-12T00:00:00"/>
    <n v="101"/>
    <x v="3"/>
  </r>
  <r>
    <s v="I'm No Longer Here"/>
    <x v="9"/>
    <d v="2020-05-27T00:00:00"/>
    <n v="105"/>
    <x v="1"/>
  </r>
  <r>
    <s v="Mucho Mucho Amor: The Legend of Walter Mercado"/>
    <x v="0"/>
    <d v="2020-07-08T00:00:00"/>
    <n v="96"/>
    <x v="32"/>
  </r>
  <r>
    <s v="Octonauts &amp; the Great Barrier Reef"/>
    <x v="26"/>
    <d v="2020-10-13T00:00:00"/>
    <n v="47"/>
    <x v="3"/>
  </r>
  <r>
    <s v="Okja"/>
    <x v="109"/>
    <d v="2017-06-28T00:00:00"/>
    <n v="121"/>
    <x v="33"/>
  </r>
  <r>
    <s v="On My Skin"/>
    <x v="41"/>
    <d v="2018-09-12T00:00:00"/>
    <n v="100"/>
    <x v="2"/>
  </r>
  <r>
    <s v="Raat Akeli Hai"/>
    <x v="1"/>
    <d v="2020-07-31T00:00:00"/>
    <n v="149"/>
    <x v="4"/>
  </r>
  <r>
    <s v="ReMastered: Massacre at the Stadium"/>
    <x v="0"/>
    <d v="2019-01-11T00:00:00"/>
    <n v="64"/>
    <x v="11"/>
  </r>
  <r>
    <s v="ReMastered: The Two Killings of Sam Cooke"/>
    <x v="0"/>
    <d v="2019-02-08T00:00:00"/>
    <n v="64"/>
    <x v="3"/>
  </r>
  <r>
    <s v="Secrets of the Saqqara Tomb"/>
    <x v="0"/>
    <d v="2020-10-28T00:00:00"/>
    <n v="114"/>
    <x v="34"/>
  </r>
  <r>
    <s v="Sitara: Let Girls Dream"/>
    <x v="90"/>
    <d v="2020-03-08T00:00:00"/>
    <n v="15"/>
    <x v="3"/>
  </r>
  <r>
    <s v="Sky Ladder: The Art of Cai Guo-Qiang"/>
    <x v="0"/>
    <d v="2016-10-14T00:00:00"/>
    <n v="79"/>
    <x v="26"/>
  </r>
  <r>
    <s v="Team Foxcatcher"/>
    <x v="0"/>
    <d v="2016-04-29T00:00:00"/>
    <n v="90"/>
    <x v="35"/>
  </r>
  <r>
    <s v="The Ballad of Buster Scruggs"/>
    <x v="20"/>
    <d v="2018-11-16T00:00:00"/>
    <n v="132"/>
    <x v="3"/>
  </r>
  <r>
    <s v="The Death and Life of Marsha P. Johnson"/>
    <x v="0"/>
    <d v="2017-10-06T00:00:00"/>
    <n v="105"/>
    <x v="3"/>
  </r>
  <r>
    <s v="The Fundamentals of Caring"/>
    <x v="32"/>
    <d v="2016-06-24T00:00:00"/>
    <n v="97"/>
    <x v="3"/>
  </r>
  <r>
    <s v="The Other One: The Long Strange Trip of Bob Weir"/>
    <x v="0"/>
    <d v="2015-05-22T00:00:00"/>
    <n v="83"/>
    <x v="3"/>
  </r>
  <r>
    <s v="American Factory"/>
    <x v="0"/>
    <d v="2019-08-21T00:00:00"/>
    <n v="110"/>
    <x v="3"/>
  </r>
  <r>
    <s v="Fire in Paradise"/>
    <x v="0"/>
    <d v="2019-11-01T00:00:00"/>
    <n v="39"/>
    <x v="3"/>
  </r>
  <r>
    <s v="Long Shot"/>
    <x v="0"/>
    <d v="2017-09-29T00:00:00"/>
    <n v="40"/>
    <x v="3"/>
  </r>
  <r>
    <s v="Miss Americana"/>
    <x v="0"/>
    <d v="2020-01-31T00:00:00"/>
    <n v="85"/>
    <x v="3"/>
  </r>
  <r>
    <s v="Period. End of Sentence."/>
    <x v="0"/>
    <d v="2019-02-12T00:00:00"/>
    <n v="26"/>
    <x v="30"/>
  </r>
  <r>
    <s v="Shawn Mendes: Live in Concert"/>
    <x v="83"/>
    <d v="2020-11-25T00:00:00"/>
    <n v="87"/>
    <x v="3"/>
  </r>
  <r>
    <s v="Shirkers"/>
    <x v="0"/>
    <d v="2018-10-26T00:00:00"/>
    <n v="97"/>
    <x v="3"/>
  </r>
  <r>
    <s v="The Black Godfather"/>
    <x v="0"/>
    <d v="2019-06-07T00:00:00"/>
    <n v="118"/>
    <x v="3"/>
  </r>
  <r>
    <s v="The Irishman: In Conversation"/>
    <x v="27"/>
    <d v="2019-11-27T00:00:00"/>
    <n v="23"/>
    <x v="3"/>
  </r>
  <r>
    <s v="The Speed Cubers"/>
    <x v="0"/>
    <d v="2020-07-29T00:00:00"/>
    <n v="40"/>
    <x v="3"/>
  </r>
  <r>
    <s v="They'll Love Me When I'm Dead"/>
    <x v="0"/>
    <d v="2018-11-02T00:00:00"/>
    <n v="98"/>
    <x v="3"/>
  </r>
  <r>
    <s v="Tig"/>
    <x v="0"/>
    <d v="2015-07-17T00:00:00"/>
    <n v="80"/>
    <x v="3"/>
  </r>
  <r>
    <s v="Barbra: The Music, The Mem'ries, The Magic!"/>
    <x v="83"/>
    <d v="2017-11-22T00:00:00"/>
    <n v="108"/>
    <x v="3"/>
  </r>
  <r>
    <s v="Blackpink: Light Up the Sky"/>
    <x v="0"/>
    <d v="2020-10-14T00:00:00"/>
    <n v="79"/>
    <x v="6"/>
  </r>
  <r>
    <s v="City of Joy"/>
    <x v="0"/>
    <d v="2018-09-07T00:00:00"/>
    <n v="74"/>
    <x v="3"/>
  </r>
  <r>
    <s v="Dick Johnson Is Dead"/>
    <x v="0"/>
    <d v="2020-10-02T00:00:00"/>
    <n v="90"/>
    <x v="3"/>
  </r>
  <r>
    <s v="Homecoming: A Film by Beyonce"/>
    <x v="0"/>
    <d v="2019-04-17T00:00:00"/>
    <n v="137"/>
    <x v="3"/>
  </r>
  <r>
    <s v="Invader Zim: Enter the Florpus"/>
    <x v="110"/>
    <d v="2019-08-16T00:00:00"/>
    <n v="71"/>
    <x v="3"/>
  </r>
  <r>
    <s v="Joan Didion: The Center Will Not Hold"/>
    <x v="0"/>
    <d v="2017-10-27T00:00:00"/>
    <n v="98"/>
    <x v="3"/>
  </r>
  <r>
    <s v="John Mulaney &amp; the Sack Lunch Bunch"/>
    <x v="31"/>
    <d v="2019-12-24T00:00:00"/>
    <n v="70"/>
    <x v="3"/>
  </r>
  <r>
    <s v="Reversing Roe"/>
    <x v="0"/>
    <d v="2018-09-13T00:00:00"/>
    <n v="99"/>
    <x v="3"/>
  </r>
  <r>
    <s v="The White Helmets"/>
    <x v="0"/>
    <d v="2016-09-16T00:00:00"/>
    <n v="40"/>
    <x v="3"/>
  </r>
  <r>
    <s v="Athlete A"/>
    <x v="0"/>
    <d v="2020-06-24T00:00:00"/>
    <n v="104"/>
    <x v="3"/>
  </r>
  <r>
    <s v="Ludo"/>
    <x v="111"/>
    <d v="2020-11-12T00:00:00"/>
    <n v="149"/>
    <x v="4"/>
  </r>
  <r>
    <s v="Quincy"/>
    <x v="0"/>
    <d v="2018-09-21T00:00:00"/>
    <n v="124"/>
    <x v="3"/>
  </r>
  <r>
    <s v="Rolling Thunder Revue: A bob Dylan Story by Martin Scorsere"/>
    <x v="0"/>
    <d v="2019-06-12T00:00:00"/>
    <n v="144"/>
    <x v="3"/>
  </r>
  <r>
    <s v="Tell Me Who I Am"/>
    <x v="0"/>
    <d v="2019-10-18T00:00:00"/>
    <n v="85"/>
    <x v="3"/>
  </r>
  <r>
    <s v="The Bleeding Edge"/>
    <x v="0"/>
    <d v="2018-07-27T00:00:00"/>
    <n v="100"/>
    <x v="3"/>
  </r>
  <r>
    <s v="The Social Dilemma"/>
    <x v="0"/>
    <d v="2020-09-09T00:00:00"/>
    <n v="94"/>
    <x v="3"/>
  </r>
  <r>
    <s v="The Two Popes"/>
    <x v="9"/>
    <d v="2019-12-20T00:00:00"/>
    <n v="125"/>
    <x v="3"/>
  </r>
  <r>
    <s v="What Happened, Miss Simone?"/>
    <x v="0"/>
    <d v="2015-06-26T00:00:00"/>
    <n v="84"/>
    <x v="3"/>
  </r>
  <r>
    <s v="Yeh Ballet"/>
    <x v="9"/>
    <d v="2020-02-21T00:00:00"/>
    <n v="117"/>
    <x v="4"/>
  </r>
  <r>
    <s v="Anima"/>
    <x v="112"/>
    <d v="2019-06-27T00:00:00"/>
    <n v="15"/>
    <x v="3"/>
  </r>
  <r>
    <s v="Beasts of No Nation"/>
    <x v="91"/>
    <d v="2015-10-16T00:00:00"/>
    <n v="136"/>
    <x v="36"/>
  </r>
  <r>
    <s v="Brene Brown: The Call to Courage"/>
    <x v="0"/>
    <d v="2019-04-19T00:00:00"/>
    <n v="76"/>
    <x v="3"/>
  </r>
  <r>
    <s v="Crip Camp: A Disability Revolution"/>
    <x v="0"/>
    <d v="2020-03-25T00:00:00"/>
    <n v="108"/>
    <x v="3"/>
  </r>
  <r>
    <s v="Jim &amp; Andy: The Great Beyond - Featuring a Very Special, Contractually Obligated Mention of Tony Cliffton "/>
    <x v="0"/>
    <d v="2017-11-17T00:00:00"/>
    <n v="94"/>
    <x v="3"/>
  </r>
  <r>
    <s v="Justin Timberlake + The Tennessee Kids"/>
    <x v="83"/>
    <d v="2016-10-12T00:00:00"/>
    <n v="90"/>
    <x v="3"/>
  </r>
  <r>
    <s v="Road to Roma"/>
    <x v="108"/>
    <d v="2020-02-11T00:00:00"/>
    <n v="72"/>
    <x v="1"/>
  </r>
  <r>
    <s v="Roma"/>
    <x v="9"/>
    <d v="2018-12-14T00:00:00"/>
    <n v="135"/>
    <x v="1"/>
  </r>
  <r>
    <s v="If Anything Happens I Love You"/>
    <x v="90"/>
    <d v="2020-11-20T00:00:00"/>
    <n v="12"/>
    <x v="3"/>
  </r>
  <r>
    <s v="The Irishman"/>
    <x v="41"/>
    <d v="2019-11-27T00:00:00"/>
    <n v="209"/>
    <x v="3"/>
  </r>
  <r>
    <s v="The Trial of the Chicago 7"/>
    <x v="9"/>
    <d v="2020-10-16T00:00:00"/>
    <n v="130"/>
    <x v="3"/>
  </r>
  <r>
    <s v="A Secret Love"/>
    <x v="0"/>
    <d v="2020-04-29T00:00:00"/>
    <n v="82"/>
    <x v="3"/>
  </r>
  <r>
    <s v="Icarus"/>
    <x v="0"/>
    <d v="2017-08-04T00:00:00"/>
    <n v="120"/>
    <x v="3"/>
  </r>
  <r>
    <s v="Marriage Story"/>
    <x v="9"/>
    <d v="2019-12-06T00:00:00"/>
    <n v="136"/>
    <x v="3"/>
  </r>
  <r>
    <s v="The Ivory Game"/>
    <x v="0"/>
    <d v="2016-11-04T00:00:00"/>
    <n v="112"/>
    <x v="3"/>
  </r>
  <r>
    <s v="Struggle: The Life and Lost Art of Szukaiski"/>
    <x v="0"/>
    <d v="2018-12-21T00:00:00"/>
    <n v="105"/>
    <x v="3"/>
  </r>
  <r>
    <s v="Chasing Coral"/>
    <x v="0"/>
    <d v="2017-07-14T00:00:00"/>
    <n v="89"/>
    <x v="3"/>
  </r>
  <r>
    <s v="My Octopus Teacher"/>
    <x v="0"/>
    <d v="2020-09-07T00:00:00"/>
    <n v="85"/>
    <x v="3"/>
  </r>
  <r>
    <s v="Rising Phoenix"/>
    <x v="0"/>
    <d v="2020-08-26T00:00:00"/>
    <n v="106"/>
    <x v="3"/>
  </r>
  <r>
    <s v="13th"/>
    <x v="0"/>
    <d v="2016-10-07T00:00:00"/>
    <n v="100"/>
    <x v="3"/>
  </r>
  <r>
    <s v="Disclosure: Trans Lives on Screen"/>
    <x v="0"/>
    <d v="2020-06-19T00:00:00"/>
    <n v="107"/>
    <x v="3"/>
  </r>
  <r>
    <s v="Klaus"/>
    <x v="113"/>
    <d v="2019-11-15T00:00:00"/>
    <n v="97"/>
    <x v="3"/>
  </r>
  <r>
    <s v="Seaspiracy"/>
    <x v="0"/>
    <d v="2021-03-24T00:00:00"/>
    <n v="89"/>
    <x v="3"/>
  </r>
  <r>
    <s v="The Three Deaths of Marisela Escobedo"/>
    <x v="0"/>
    <d v="2020-10-14T00:00:00"/>
    <n v="109"/>
    <x v="1"/>
  </r>
  <r>
    <s v="Cuba and the Cameraman"/>
    <x v="0"/>
    <d v="2017-11-24T00:00:00"/>
    <n v="114"/>
    <x v="3"/>
  </r>
  <r>
    <s v="Dancing with the Birds"/>
    <x v="0"/>
    <d v="2019-10-23T00:00:00"/>
    <n v="51"/>
    <x v="3"/>
  </r>
  <r>
    <s v="Ben Platt: Live from Radio City Music Hall"/>
    <x v="83"/>
    <d v="2020-05-20T00:00:00"/>
    <n v="85"/>
    <x v="3"/>
  </r>
  <r>
    <s v="Taylor Swift: Reputation Stadium Tour"/>
    <x v="83"/>
    <d v="2018-12-31T00:00:00"/>
    <n v="125"/>
    <x v="3"/>
  </r>
  <r>
    <s v="Winter on Fire: Ukraine's Fight for Freedom"/>
    <x v="0"/>
    <d v="2015-10-09T00:00:00"/>
    <n v="91"/>
    <x v="37"/>
  </r>
  <r>
    <s v="Springsteen on Broadway"/>
    <x v="57"/>
    <d v="2018-12-16T00:00:00"/>
    <n v="153"/>
    <x v="3"/>
  </r>
  <r>
    <s v="Emicida: AmarElo - It's All For Yesterday"/>
    <x v="0"/>
    <d v="2020-12-08T00:00:00"/>
    <n v="89"/>
    <x v="12"/>
  </r>
  <r>
    <s v="David Attenborough: A Life on Our Planet"/>
    <x v="0"/>
    <d v="2020-10-04T00:00:00"/>
    <n v="8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18" firstHeaderRow="1" firstDataRow="1" firstDataCol="1"/>
  <pivotFields count="5">
    <pivotField showAll="0"/>
    <pivotField axis="axisRow" showAll="0">
      <items count="115">
        <item x="5"/>
        <item x="11"/>
        <item x="88"/>
        <item x="35"/>
        <item x="36"/>
        <item x="109"/>
        <item x="23"/>
        <item x="71"/>
        <item x="43"/>
        <item x="70"/>
        <item x="27"/>
        <item x="98"/>
        <item x="26"/>
        <item x="102"/>
        <item x="86"/>
        <item x="110"/>
        <item x="90"/>
        <item x="113"/>
        <item x="87"/>
        <item x="85"/>
        <item x="21"/>
        <item x="17"/>
        <item x="97"/>
        <item x="89"/>
        <item x="111"/>
        <item x="100"/>
        <item x="53"/>
        <item x="44"/>
        <item x="47"/>
        <item x="67"/>
        <item x="28"/>
        <item x="103"/>
        <item x="6"/>
        <item x="38"/>
        <item x="51"/>
        <item x="65"/>
        <item x="33"/>
        <item x="59"/>
        <item x="32"/>
        <item x="106"/>
        <item x="83"/>
        <item x="41"/>
        <item x="80"/>
        <item x="73"/>
        <item x="50"/>
        <item x="0"/>
        <item x="9"/>
        <item x="94"/>
        <item x="77"/>
        <item x="105"/>
        <item x="49"/>
        <item x="22"/>
        <item x="92"/>
        <item x="78"/>
        <item x="60"/>
        <item x="19"/>
        <item x="7"/>
        <item x="95"/>
        <item x="107"/>
        <item x="101"/>
        <item x="15"/>
        <item x="12"/>
        <item x="46"/>
        <item x="3"/>
        <item x="75"/>
        <item x="72"/>
        <item x="108"/>
        <item x="104"/>
        <item x="55"/>
        <item x="39"/>
        <item x="112"/>
        <item x="84"/>
        <item x="8"/>
        <item x="4"/>
        <item x="57"/>
        <item x="13"/>
        <item x="63"/>
        <item x="52"/>
        <item x="42"/>
        <item x="45"/>
        <item x="16"/>
        <item x="10"/>
        <item x="69"/>
        <item x="58"/>
        <item x="25"/>
        <item x="48"/>
        <item x="37"/>
        <item x="66"/>
        <item x="56"/>
        <item x="30"/>
        <item x="29"/>
        <item x="93"/>
        <item x="81"/>
        <item x="2"/>
        <item x="40"/>
        <item x="54"/>
        <item x="64"/>
        <item x="61"/>
        <item x="96"/>
        <item x="74"/>
        <item x="18"/>
        <item x="99"/>
        <item x="14"/>
        <item x="34"/>
        <item x="82"/>
        <item x="24"/>
        <item x="1"/>
        <item x="76"/>
        <item x="31"/>
        <item x="79"/>
        <item x="91"/>
        <item x="68"/>
        <item x="20"/>
        <item x="62"/>
        <item t="default"/>
      </items>
    </pivotField>
    <pivotField numFmtId="14" showAll="0"/>
    <pivotField dataField="1" showAll="0"/>
    <pivotField showAll="0">
      <items count="39">
        <item x="28"/>
        <item x="9"/>
        <item x="3"/>
        <item x="36"/>
        <item x="34"/>
        <item x="30"/>
        <item x="0"/>
        <item x="33"/>
        <item x="26"/>
        <item x="35"/>
        <item x="11"/>
        <item x="23"/>
        <item x="24"/>
        <item x="37"/>
        <item x="13"/>
        <item x="10"/>
        <item x="27"/>
        <item x="14"/>
        <item x="4"/>
        <item x="7"/>
        <item x="2"/>
        <item x="20"/>
        <item x="29"/>
        <item x="6"/>
        <item x="8"/>
        <item x="17"/>
        <item x="16"/>
        <item x="15"/>
        <item x="12"/>
        <item x="1"/>
        <item x="21"/>
        <item x="22"/>
        <item x="32"/>
        <item x="19"/>
        <item x="31"/>
        <item x="18"/>
        <item x="25"/>
        <item x="5"/>
        <item t="default"/>
      </items>
    </pivotField>
  </pivotFields>
  <rowFields count="1">
    <field x="1"/>
  </rowFields>
  <rowItems count="1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 t="grand">
      <x/>
    </i>
  </rowItems>
  <colItems count="1">
    <i/>
  </colItems>
  <dataFields count="1">
    <dataField name="Sum of Runtim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Title" tableColumnId="1"/>
      <queryTableField id="2" name="Genre" tableColumnId="2"/>
      <queryTableField id="3" name="Premiere" tableColumnId="3"/>
      <queryTableField id="4" name="Runtime" tableColumnId="4"/>
      <queryTableField id="5" name="Language" tableColumnId="5"/>
      <queryTableField id="6" dataBound="0" tableColumnId="6"/>
      <queryTableField id="7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Netflix_Movies" displayName="Netflix_Movies" ref="A1:G586" tableType="queryTable" totalsRowCount="1" totalsRowDxfId="13">
  <autoFilter ref="A1:G585" xr:uid="{00000000-0009-0000-0100-000001000000}"/>
  <sortState xmlns:xlrd2="http://schemas.microsoft.com/office/spreadsheetml/2017/richdata2" ref="A2:G585">
    <sortCondition ref="A1:A585"/>
  </sortState>
  <tableColumns count="7">
    <tableColumn id="1" xr3:uid="{00000000-0010-0000-0000-000001000000}" uniqueName="1" name="Title" totalsRowLabel="TOTAL RUNTIME" queryTableFieldId="1" dataDxfId="12" totalsRowDxfId="7"/>
    <tableColumn id="2" xr3:uid="{00000000-0010-0000-0000-000002000000}" uniqueName="2" name="Genre" queryTableFieldId="2" dataDxfId="11" totalsRowDxfId="6"/>
    <tableColumn id="3" xr3:uid="{00000000-0010-0000-0000-000003000000}" uniqueName="3" name="Premiere" queryTableFieldId="3" dataDxfId="10" totalsRowDxfId="5"/>
    <tableColumn id="4" xr3:uid="{00000000-0010-0000-0000-000004000000}" uniqueName="4" name="Runtime" totalsRowFunction="custom" queryTableFieldId="4" totalsRowDxfId="4">
      <totalsRowFormula>SUM(D2:D585)</totalsRowFormula>
    </tableColumn>
    <tableColumn id="5" xr3:uid="{00000000-0010-0000-0000-000005000000}" uniqueName="5" name="Language" queryTableFieldId="5" dataDxfId="9" totalsRowDxfId="3"/>
    <tableColumn id="6" xr3:uid="{00000000-0010-0000-0000-000006000000}" uniqueName="6" name="Ave Runtime" queryTableFieldId="6" dataDxfId="8" totalsRowDxfId="2"/>
    <tableColumn id="7" xr3:uid="{98A1BE57-872A-43DE-AF93-391578EF0E30}" uniqueName="7" name="Ave&gt;Runtime,&quot;Yes&quot;" queryTableFieldId="7" dataDxfId="0" totalsRowDxfId="1">
      <calculatedColumnFormula>IF(F2&gt;D2,"Yes","No")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121"/>
  <sheetViews>
    <sheetView topLeftCell="A104" workbookViewId="0">
      <selection activeCell="B4" sqref="B4"/>
    </sheetView>
  </sheetViews>
  <sheetFormatPr defaultRowHeight="14.5" x14ac:dyDescent="0.35"/>
  <cols>
    <col min="1" max="1" width="36.26953125" bestFit="1" customWidth="1"/>
    <col min="2" max="2" width="14.26953125" bestFit="1" customWidth="1"/>
    <col min="3" max="3" width="16.453125" bestFit="1" customWidth="1"/>
    <col min="4" max="4" width="6.6328125" bestFit="1" customWidth="1"/>
    <col min="5" max="5" width="11.7265625" bestFit="1" customWidth="1"/>
    <col min="6" max="6" width="12.7265625" bestFit="1" customWidth="1"/>
    <col min="7" max="7" width="11.81640625" bestFit="1" customWidth="1"/>
    <col min="8" max="8" width="15.1796875" bestFit="1" customWidth="1"/>
    <col min="9" max="9" width="13.54296875" bestFit="1" customWidth="1"/>
    <col min="10" max="10" width="15.7265625" bestFit="1" customWidth="1"/>
    <col min="11" max="11" width="13.90625" bestFit="1" customWidth="1"/>
    <col min="12" max="12" width="14" bestFit="1" customWidth="1"/>
    <col min="13" max="13" width="14.36328125" bestFit="1" customWidth="1"/>
    <col min="14" max="14" width="25.6328125" bestFit="1" customWidth="1"/>
    <col min="15" max="15" width="22.54296875" bestFit="1" customWidth="1"/>
    <col min="16" max="16" width="6.81640625" bestFit="1" customWidth="1"/>
    <col min="17" max="17" width="6.453125" bestFit="1" customWidth="1"/>
    <col min="18" max="18" width="8.36328125" bestFit="1" customWidth="1"/>
    <col min="19" max="19" width="7.54296875" bestFit="1" customWidth="1"/>
    <col min="20" max="20" width="5.1796875" bestFit="1" customWidth="1"/>
    <col min="21" max="21" width="10.08984375" bestFit="1" customWidth="1"/>
    <col min="22" max="22" width="6.08984375" bestFit="1" customWidth="1"/>
    <col min="23" max="23" width="8.453125" bestFit="1" customWidth="1"/>
    <col min="24" max="24" width="19.6328125" bestFit="1" customWidth="1"/>
    <col min="25" max="25" width="6.81640625" bestFit="1" customWidth="1"/>
    <col min="26" max="26" width="5.90625" bestFit="1" customWidth="1"/>
    <col min="27" max="27" width="7.54296875" bestFit="1" customWidth="1"/>
    <col min="28" max="28" width="9.81640625" bestFit="1" customWidth="1"/>
    <col min="29" max="29" width="5.81640625" bestFit="1" customWidth="1"/>
    <col min="30" max="30" width="10.36328125" bestFit="1" customWidth="1"/>
    <col min="31" max="31" width="7.26953125" bestFit="1" customWidth="1"/>
    <col min="32" max="32" width="14.26953125" bestFit="1" customWidth="1"/>
    <col min="33" max="33" width="14.54296875" bestFit="1" customWidth="1"/>
    <col min="34" max="34" width="14" bestFit="1" customWidth="1"/>
    <col min="35" max="35" width="7.6328125" bestFit="1" customWidth="1"/>
    <col min="36" max="36" width="5.36328125" bestFit="1" customWidth="1"/>
    <col min="37" max="37" width="4.36328125" bestFit="1" customWidth="1"/>
    <col min="38" max="38" width="11" bestFit="1" customWidth="1"/>
    <col min="39" max="39" width="7" bestFit="1" customWidth="1"/>
    <col min="40" max="40" width="10.7265625" bestFit="1" customWidth="1"/>
  </cols>
  <sheetData>
    <row r="3" spans="1:2" x14ac:dyDescent="0.35">
      <c r="A3" s="4" t="s">
        <v>1137</v>
      </c>
      <c r="B3" t="s">
        <v>1136</v>
      </c>
    </row>
    <row r="4" spans="1:2" x14ac:dyDescent="0.35">
      <c r="A4" s="5" t="s">
        <v>26</v>
      </c>
      <c r="B4" s="2">
        <v>756</v>
      </c>
    </row>
    <row r="5" spans="1:2" x14ac:dyDescent="0.35">
      <c r="A5" s="5" t="s">
        <v>51</v>
      </c>
      <c r="B5" s="2">
        <v>506</v>
      </c>
    </row>
    <row r="6" spans="1:2" x14ac:dyDescent="0.35">
      <c r="A6" s="5" t="s">
        <v>679</v>
      </c>
      <c r="B6" s="2">
        <v>82</v>
      </c>
    </row>
    <row r="7" spans="1:2" x14ac:dyDescent="0.35">
      <c r="A7" s="5" t="s">
        <v>250</v>
      </c>
      <c r="B7" s="2">
        <v>101</v>
      </c>
    </row>
    <row r="8" spans="1:2" x14ac:dyDescent="0.35">
      <c r="A8" s="5" t="s">
        <v>259</v>
      </c>
      <c r="B8" s="2">
        <v>114</v>
      </c>
    </row>
    <row r="9" spans="1:2" x14ac:dyDescent="0.35">
      <c r="A9" s="5" t="s">
        <v>1000</v>
      </c>
      <c r="B9" s="2">
        <v>121</v>
      </c>
    </row>
    <row r="10" spans="1:2" x14ac:dyDescent="0.35">
      <c r="A10" s="5" t="s">
        <v>153</v>
      </c>
      <c r="B10" s="2">
        <v>359</v>
      </c>
    </row>
    <row r="11" spans="1:2" x14ac:dyDescent="0.35">
      <c r="A11" s="5" t="s">
        <v>520</v>
      </c>
      <c r="B11" s="2">
        <v>193</v>
      </c>
    </row>
    <row r="12" spans="1:2" x14ac:dyDescent="0.35">
      <c r="A12" s="5" t="s">
        <v>300</v>
      </c>
      <c r="B12" s="2">
        <v>83</v>
      </c>
    </row>
    <row r="13" spans="1:2" x14ac:dyDescent="0.35">
      <c r="A13" s="5" t="s">
        <v>510</v>
      </c>
      <c r="B13" s="2">
        <v>85</v>
      </c>
    </row>
    <row r="14" spans="1:2" x14ac:dyDescent="0.35">
      <c r="A14" s="5" t="s">
        <v>180</v>
      </c>
      <c r="B14" s="2">
        <v>142</v>
      </c>
    </row>
    <row r="15" spans="1:2" x14ac:dyDescent="0.35">
      <c r="A15" s="5" t="s">
        <v>764</v>
      </c>
      <c r="B15" s="2">
        <v>92</v>
      </c>
    </row>
    <row r="16" spans="1:2" x14ac:dyDescent="0.35">
      <c r="A16" s="5" t="s">
        <v>175</v>
      </c>
      <c r="B16" s="2">
        <v>286</v>
      </c>
    </row>
    <row r="17" spans="1:2" x14ac:dyDescent="0.35">
      <c r="A17" s="5" t="s">
        <v>896</v>
      </c>
      <c r="B17" s="2">
        <v>45</v>
      </c>
    </row>
    <row r="18" spans="1:2" x14ac:dyDescent="0.35">
      <c r="A18" s="5" t="s">
        <v>663</v>
      </c>
      <c r="B18" s="2">
        <v>41</v>
      </c>
    </row>
    <row r="19" spans="1:2" x14ac:dyDescent="0.35">
      <c r="A19" s="5" t="s">
        <v>1049</v>
      </c>
      <c r="B19" s="2">
        <v>71</v>
      </c>
    </row>
    <row r="20" spans="1:2" x14ac:dyDescent="0.35">
      <c r="A20" s="5" t="s">
        <v>693</v>
      </c>
      <c r="B20" s="2">
        <v>43</v>
      </c>
    </row>
    <row r="21" spans="1:2" x14ac:dyDescent="0.35">
      <c r="A21" s="5" t="s">
        <v>1108</v>
      </c>
      <c r="B21" s="2">
        <v>97</v>
      </c>
    </row>
    <row r="22" spans="1:2" x14ac:dyDescent="0.35">
      <c r="A22" s="5" t="s">
        <v>671</v>
      </c>
      <c r="B22" s="2">
        <v>90</v>
      </c>
    </row>
    <row r="23" spans="1:2" x14ac:dyDescent="0.35">
      <c r="A23" s="5" t="s">
        <v>656</v>
      </c>
      <c r="B23" s="2">
        <v>95</v>
      </c>
    </row>
    <row r="24" spans="1:2" x14ac:dyDescent="0.35">
      <c r="A24" s="5" t="s">
        <v>144</v>
      </c>
      <c r="B24" s="2">
        <v>89</v>
      </c>
    </row>
    <row r="25" spans="1:2" x14ac:dyDescent="0.35">
      <c r="A25" s="5" t="s">
        <v>117</v>
      </c>
      <c r="B25" s="2">
        <v>4</v>
      </c>
    </row>
    <row r="26" spans="1:2" x14ac:dyDescent="0.35">
      <c r="A26" s="5" t="s">
        <v>760</v>
      </c>
      <c r="B26" s="2">
        <v>104</v>
      </c>
    </row>
    <row r="27" spans="1:2" x14ac:dyDescent="0.35">
      <c r="A27" s="5" t="s">
        <v>688</v>
      </c>
      <c r="B27" s="2">
        <v>180</v>
      </c>
    </row>
    <row r="28" spans="1:2" x14ac:dyDescent="0.35">
      <c r="A28" s="5" t="s">
        <v>1059</v>
      </c>
      <c r="B28" s="2">
        <v>149</v>
      </c>
    </row>
    <row r="29" spans="1:2" x14ac:dyDescent="0.35">
      <c r="A29" s="5" t="s">
        <v>808</v>
      </c>
      <c r="B29" s="2">
        <v>101</v>
      </c>
    </row>
    <row r="30" spans="1:2" x14ac:dyDescent="0.35">
      <c r="A30" s="5" t="s">
        <v>391</v>
      </c>
      <c r="B30" s="2">
        <v>968</v>
      </c>
    </row>
    <row r="31" spans="1:2" x14ac:dyDescent="0.35">
      <c r="A31" s="5" t="s">
        <v>303</v>
      </c>
      <c r="B31" s="2">
        <v>183</v>
      </c>
    </row>
    <row r="32" spans="1:2" x14ac:dyDescent="0.35">
      <c r="A32" s="5" t="s">
        <v>339</v>
      </c>
      <c r="B32" s="2">
        <v>97</v>
      </c>
    </row>
    <row r="33" spans="1:2" x14ac:dyDescent="0.35">
      <c r="A33" s="5" t="s">
        <v>486</v>
      </c>
      <c r="B33" s="2">
        <v>115</v>
      </c>
    </row>
    <row r="34" spans="1:2" x14ac:dyDescent="0.35">
      <c r="A34" s="5" t="s">
        <v>185</v>
      </c>
      <c r="B34" s="2">
        <v>98</v>
      </c>
    </row>
    <row r="35" spans="1:2" x14ac:dyDescent="0.35">
      <c r="A35" s="5" t="s">
        <v>900</v>
      </c>
      <c r="B35" s="2">
        <v>104</v>
      </c>
    </row>
    <row r="36" spans="1:2" x14ac:dyDescent="0.35">
      <c r="A36" s="5" t="s">
        <v>29</v>
      </c>
      <c r="B36" s="2">
        <v>4687</v>
      </c>
    </row>
    <row r="37" spans="1:2" x14ac:dyDescent="0.35">
      <c r="A37" s="5" t="s">
        <v>267</v>
      </c>
      <c r="B37" s="2">
        <v>86</v>
      </c>
    </row>
    <row r="38" spans="1:2" x14ac:dyDescent="0.35">
      <c r="A38" s="5" t="s">
        <v>361</v>
      </c>
      <c r="B38" s="2">
        <v>94</v>
      </c>
    </row>
    <row r="39" spans="1:2" x14ac:dyDescent="0.35">
      <c r="A39" s="5" t="s">
        <v>479</v>
      </c>
      <c r="B39" s="2">
        <v>97</v>
      </c>
    </row>
    <row r="40" spans="1:2" x14ac:dyDescent="0.35">
      <c r="A40" s="5" t="s">
        <v>240</v>
      </c>
      <c r="B40" s="2">
        <v>98</v>
      </c>
    </row>
    <row r="41" spans="1:2" x14ac:dyDescent="0.35">
      <c r="A41" s="5" t="s">
        <v>426</v>
      </c>
      <c r="B41" s="2">
        <v>102</v>
      </c>
    </row>
    <row r="42" spans="1:2" x14ac:dyDescent="0.35">
      <c r="A42" s="5" t="s">
        <v>215</v>
      </c>
      <c r="B42" s="2">
        <v>1472</v>
      </c>
    </row>
    <row r="43" spans="1:2" x14ac:dyDescent="0.35">
      <c r="A43" s="5" t="s">
        <v>967</v>
      </c>
      <c r="B43" s="2">
        <v>99</v>
      </c>
    </row>
    <row r="44" spans="1:2" x14ac:dyDescent="0.35">
      <c r="A44" s="5" t="s">
        <v>631</v>
      </c>
      <c r="B44" s="2">
        <v>592</v>
      </c>
    </row>
    <row r="45" spans="1:2" x14ac:dyDescent="0.35">
      <c r="A45" s="5" t="s">
        <v>287</v>
      </c>
      <c r="B45" s="2">
        <v>1300</v>
      </c>
    </row>
    <row r="46" spans="1:2" x14ac:dyDescent="0.35">
      <c r="A46" s="5" t="s">
        <v>605</v>
      </c>
      <c r="B46" s="2">
        <v>86</v>
      </c>
    </row>
    <row r="47" spans="1:2" x14ac:dyDescent="0.35">
      <c r="A47" s="5" t="s">
        <v>540</v>
      </c>
      <c r="B47" s="2">
        <v>93</v>
      </c>
    </row>
    <row r="48" spans="1:2" x14ac:dyDescent="0.35">
      <c r="A48" s="5" t="s">
        <v>350</v>
      </c>
      <c r="B48" s="2">
        <v>184</v>
      </c>
    </row>
    <row r="49" spans="1:2" x14ac:dyDescent="0.35">
      <c r="A49" s="5" t="s">
        <v>6</v>
      </c>
      <c r="B49" s="2">
        <v>12555</v>
      </c>
    </row>
    <row r="50" spans="1:2" x14ac:dyDescent="0.35">
      <c r="A50" s="5" t="s">
        <v>43</v>
      </c>
      <c r="B50" s="2">
        <v>8263</v>
      </c>
    </row>
    <row r="51" spans="1:2" x14ac:dyDescent="0.35">
      <c r="A51" s="5" t="s">
        <v>732</v>
      </c>
      <c r="B51" s="2">
        <v>17</v>
      </c>
    </row>
    <row r="52" spans="1:2" x14ac:dyDescent="0.35">
      <c r="A52" s="5" t="s">
        <v>583</v>
      </c>
      <c r="B52" s="2">
        <v>104</v>
      </c>
    </row>
    <row r="53" spans="1:2" x14ac:dyDescent="0.35">
      <c r="A53" s="5" t="s">
        <v>963</v>
      </c>
      <c r="B53" s="2">
        <v>89</v>
      </c>
    </row>
    <row r="54" spans="1:2" x14ac:dyDescent="0.35">
      <c r="A54" s="5" t="s">
        <v>347</v>
      </c>
      <c r="B54" s="2">
        <v>225</v>
      </c>
    </row>
    <row r="55" spans="1:2" x14ac:dyDescent="0.35">
      <c r="A55" s="5" t="s">
        <v>147</v>
      </c>
      <c r="B55" s="2">
        <v>181</v>
      </c>
    </row>
    <row r="56" spans="1:2" x14ac:dyDescent="0.35">
      <c r="A56" s="5" t="s">
        <v>709</v>
      </c>
      <c r="B56" s="2">
        <v>119</v>
      </c>
    </row>
    <row r="57" spans="1:2" x14ac:dyDescent="0.35">
      <c r="A57" s="5" t="s">
        <v>587</v>
      </c>
      <c r="B57" s="2">
        <v>107</v>
      </c>
    </row>
    <row r="58" spans="1:2" x14ac:dyDescent="0.35">
      <c r="A58" s="5" t="s">
        <v>429</v>
      </c>
      <c r="B58" s="2">
        <v>96</v>
      </c>
    </row>
    <row r="59" spans="1:2" x14ac:dyDescent="0.35">
      <c r="A59" s="5" t="s">
        <v>127</v>
      </c>
      <c r="B59" s="2">
        <v>97</v>
      </c>
    </row>
    <row r="60" spans="1:2" x14ac:dyDescent="0.35">
      <c r="A60" s="5" t="s">
        <v>33</v>
      </c>
      <c r="B60" s="2">
        <v>149</v>
      </c>
    </row>
    <row r="61" spans="1:2" x14ac:dyDescent="0.35">
      <c r="A61" s="5" t="s">
        <v>735</v>
      </c>
      <c r="B61" s="2">
        <v>86</v>
      </c>
    </row>
    <row r="62" spans="1:2" x14ac:dyDescent="0.35">
      <c r="A62" s="5" t="s">
        <v>977</v>
      </c>
      <c r="B62" s="2">
        <v>140</v>
      </c>
    </row>
    <row r="63" spans="1:2" x14ac:dyDescent="0.35">
      <c r="A63" s="5" t="s">
        <v>860</v>
      </c>
      <c r="B63" s="2">
        <v>121</v>
      </c>
    </row>
    <row r="64" spans="1:2" x14ac:dyDescent="0.35">
      <c r="A64" s="5" t="s">
        <v>95</v>
      </c>
      <c r="B64" s="2">
        <v>894</v>
      </c>
    </row>
    <row r="65" spans="1:2" x14ac:dyDescent="0.35">
      <c r="A65" s="5" t="s">
        <v>59</v>
      </c>
      <c r="B65" s="2">
        <v>144</v>
      </c>
    </row>
    <row r="66" spans="1:2" x14ac:dyDescent="0.35">
      <c r="A66" s="5" t="s">
        <v>335</v>
      </c>
      <c r="B66" s="2">
        <v>86</v>
      </c>
    </row>
    <row r="67" spans="1:2" x14ac:dyDescent="0.35">
      <c r="A67" s="5" t="s">
        <v>18</v>
      </c>
      <c r="B67" s="2">
        <v>297</v>
      </c>
    </row>
    <row r="68" spans="1:2" x14ac:dyDescent="0.35">
      <c r="A68" s="5" t="s">
        <v>569</v>
      </c>
      <c r="B68" s="2">
        <v>102</v>
      </c>
    </row>
    <row r="69" spans="1:2" x14ac:dyDescent="0.35">
      <c r="A69" s="5" t="s">
        <v>535</v>
      </c>
      <c r="B69" s="2">
        <v>219</v>
      </c>
    </row>
    <row r="70" spans="1:2" x14ac:dyDescent="0.35">
      <c r="A70" s="5" t="s">
        <v>979</v>
      </c>
      <c r="B70" s="2">
        <v>85</v>
      </c>
    </row>
    <row r="71" spans="1:2" x14ac:dyDescent="0.35">
      <c r="A71" s="5" t="s">
        <v>915</v>
      </c>
      <c r="B71" s="2">
        <v>49</v>
      </c>
    </row>
    <row r="72" spans="1:2" x14ac:dyDescent="0.35">
      <c r="A72" s="5" t="s">
        <v>405</v>
      </c>
      <c r="B72" s="2">
        <v>127</v>
      </c>
    </row>
    <row r="73" spans="1:2" x14ac:dyDescent="0.35">
      <c r="A73" s="5" t="s">
        <v>270</v>
      </c>
      <c r="B73" s="2">
        <v>232</v>
      </c>
    </row>
    <row r="74" spans="1:2" x14ac:dyDescent="0.35">
      <c r="A74" s="5" t="s">
        <v>1074</v>
      </c>
      <c r="B74" s="2">
        <v>15</v>
      </c>
    </row>
    <row r="75" spans="1:2" x14ac:dyDescent="0.35">
      <c r="A75" s="5" t="s">
        <v>638</v>
      </c>
      <c r="B75" s="2">
        <v>235</v>
      </c>
    </row>
    <row r="76" spans="1:2" x14ac:dyDescent="0.35">
      <c r="A76" s="5" t="s">
        <v>36</v>
      </c>
      <c r="B76" s="2">
        <v>73</v>
      </c>
    </row>
    <row r="77" spans="1:2" x14ac:dyDescent="0.35">
      <c r="A77" s="5" t="s">
        <v>22</v>
      </c>
      <c r="B77" s="2">
        <v>197</v>
      </c>
    </row>
    <row r="78" spans="1:2" x14ac:dyDescent="0.35">
      <c r="A78" s="5" t="s">
        <v>414</v>
      </c>
      <c r="B78" s="2">
        <v>296</v>
      </c>
    </row>
    <row r="79" spans="1:2" x14ac:dyDescent="0.35">
      <c r="A79" s="5" t="s">
        <v>62</v>
      </c>
      <c r="B79" s="2">
        <v>115</v>
      </c>
    </row>
    <row r="80" spans="1:2" x14ac:dyDescent="0.35">
      <c r="A80" s="5" t="s">
        <v>447</v>
      </c>
      <c r="B80" s="2">
        <v>94</v>
      </c>
    </row>
    <row r="81" spans="1:2" x14ac:dyDescent="0.35">
      <c r="A81" s="5" t="s">
        <v>375</v>
      </c>
      <c r="B81" s="2">
        <v>496</v>
      </c>
    </row>
    <row r="82" spans="1:2" x14ac:dyDescent="0.35">
      <c r="A82" s="5" t="s">
        <v>291</v>
      </c>
      <c r="B82" s="2">
        <v>142</v>
      </c>
    </row>
    <row r="83" spans="1:2" x14ac:dyDescent="0.35">
      <c r="A83" s="5" t="s">
        <v>322</v>
      </c>
      <c r="B83" s="2">
        <v>607</v>
      </c>
    </row>
    <row r="84" spans="1:2" x14ac:dyDescent="0.35">
      <c r="A84" s="5" t="s">
        <v>98</v>
      </c>
      <c r="B84" s="2">
        <v>83</v>
      </c>
    </row>
    <row r="85" spans="1:2" x14ac:dyDescent="0.35">
      <c r="A85" s="5" t="s">
        <v>47</v>
      </c>
      <c r="B85" s="2">
        <v>3927</v>
      </c>
    </row>
    <row r="86" spans="1:2" x14ac:dyDescent="0.35">
      <c r="A86" s="5" t="s">
        <v>508</v>
      </c>
      <c r="B86" s="2">
        <v>104</v>
      </c>
    </row>
    <row r="87" spans="1:2" x14ac:dyDescent="0.35">
      <c r="A87" s="5" t="s">
        <v>417</v>
      </c>
      <c r="B87" s="2">
        <v>105</v>
      </c>
    </row>
    <row r="88" spans="1:2" x14ac:dyDescent="0.35">
      <c r="A88" s="5" t="s">
        <v>172</v>
      </c>
      <c r="B88" s="2">
        <v>541</v>
      </c>
    </row>
    <row r="89" spans="1:2" x14ac:dyDescent="0.35">
      <c r="A89" s="5" t="s">
        <v>342</v>
      </c>
      <c r="B89" s="2">
        <v>99</v>
      </c>
    </row>
    <row r="90" spans="1:2" x14ac:dyDescent="0.35">
      <c r="A90" s="5" t="s">
        <v>264</v>
      </c>
      <c r="B90" s="2">
        <v>101</v>
      </c>
    </row>
    <row r="91" spans="1:2" x14ac:dyDescent="0.35">
      <c r="A91" s="5" t="s">
        <v>483</v>
      </c>
      <c r="B91" s="2">
        <v>123</v>
      </c>
    </row>
    <row r="92" spans="1:2" x14ac:dyDescent="0.35">
      <c r="A92" s="5" t="s">
        <v>412</v>
      </c>
      <c r="B92" s="2">
        <v>194</v>
      </c>
    </row>
    <row r="93" spans="1:2" x14ac:dyDescent="0.35">
      <c r="A93" s="5" t="s">
        <v>207</v>
      </c>
      <c r="B93" s="2">
        <v>443</v>
      </c>
    </row>
    <row r="94" spans="1:2" x14ac:dyDescent="0.35">
      <c r="A94" s="5" t="s">
        <v>203</v>
      </c>
      <c r="B94" s="2">
        <v>98</v>
      </c>
    </row>
    <row r="95" spans="1:2" x14ac:dyDescent="0.35">
      <c r="A95" s="5" t="s">
        <v>723</v>
      </c>
      <c r="B95" s="2">
        <v>101</v>
      </c>
    </row>
    <row r="96" spans="1:2" x14ac:dyDescent="0.35">
      <c r="A96" s="5" t="s">
        <v>608</v>
      </c>
      <c r="B96" s="2">
        <v>108</v>
      </c>
    </row>
    <row r="97" spans="1:2" x14ac:dyDescent="0.35">
      <c r="A97" s="5" t="s">
        <v>14</v>
      </c>
      <c r="B97" s="2">
        <v>276</v>
      </c>
    </row>
    <row r="98" spans="1:2" x14ac:dyDescent="0.35">
      <c r="A98" s="5" t="s">
        <v>284</v>
      </c>
      <c r="B98" s="2">
        <v>126</v>
      </c>
    </row>
    <row r="99" spans="1:2" x14ac:dyDescent="0.35">
      <c r="A99" s="5" t="s">
        <v>397</v>
      </c>
      <c r="B99" s="2">
        <v>370</v>
      </c>
    </row>
    <row r="100" spans="1:2" x14ac:dyDescent="0.35">
      <c r="A100" s="5" t="s">
        <v>466</v>
      </c>
      <c r="B100" s="2">
        <v>108</v>
      </c>
    </row>
    <row r="101" spans="1:2" x14ac:dyDescent="0.35">
      <c r="A101" s="5" t="s">
        <v>442</v>
      </c>
      <c r="B101" s="2">
        <v>288</v>
      </c>
    </row>
    <row r="102" spans="1:2" x14ac:dyDescent="0.35">
      <c r="A102" s="5" t="s">
        <v>754</v>
      </c>
      <c r="B102" s="2">
        <v>244</v>
      </c>
    </row>
    <row r="103" spans="1:2" x14ac:dyDescent="0.35">
      <c r="A103" s="5" t="s">
        <v>543</v>
      </c>
      <c r="B103" s="2">
        <v>42</v>
      </c>
    </row>
    <row r="104" spans="1:2" x14ac:dyDescent="0.35">
      <c r="A104" s="5" t="s">
        <v>122</v>
      </c>
      <c r="B104" s="2">
        <v>213</v>
      </c>
    </row>
    <row r="105" spans="1:2" x14ac:dyDescent="0.35">
      <c r="A105" s="5" t="s">
        <v>800</v>
      </c>
      <c r="B105" s="2">
        <v>124</v>
      </c>
    </row>
    <row r="106" spans="1:2" x14ac:dyDescent="0.35">
      <c r="A106" s="5" t="s">
        <v>77</v>
      </c>
      <c r="B106" s="2">
        <v>105</v>
      </c>
    </row>
    <row r="107" spans="1:2" x14ac:dyDescent="0.35">
      <c r="A107" s="5" t="s">
        <v>247</v>
      </c>
      <c r="B107" s="2">
        <v>92</v>
      </c>
    </row>
    <row r="108" spans="1:2" x14ac:dyDescent="0.35">
      <c r="A108" s="5" t="s">
        <v>611</v>
      </c>
      <c r="B108" s="2">
        <v>85</v>
      </c>
    </row>
    <row r="109" spans="1:2" x14ac:dyDescent="0.35">
      <c r="A109" s="5" t="s">
        <v>169</v>
      </c>
      <c r="B109" s="2">
        <v>97</v>
      </c>
    </row>
    <row r="110" spans="1:2" x14ac:dyDescent="0.35">
      <c r="A110" s="5" t="s">
        <v>10</v>
      </c>
      <c r="B110" s="2">
        <v>3469</v>
      </c>
    </row>
    <row r="111" spans="1:2" x14ac:dyDescent="0.35">
      <c r="A111" s="5" t="s">
        <v>580</v>
      </c>
      <c r="B111" s="2">
        <v>117</v>
      </c>
    </row>
    <row r="112" spans="1:2" x14ac:dyDescent="0.35">
      <c r="A112" s="5" t="s">
        <v>210</v>
      </c>
      <c r="B112" s="2">
        <v>296</v>
      </c>
    </row>
    <row r="113" spans="1:2" x14ac:dyDescent="0.35">
      <c r="A113" s="5" t="s">
        <v>602</v>
      </c>
      <c r="B113" s="2">
        <v>221</v>
      </c>
    </row>
    <row r="114" spans="1:2" x14ac:dyDescent="0.35">
      <c r="A114" s="5" t="s">
        <v>699</v>
      </c>
      <c r="B114" s="2">
        <v>291</v>
      </c>
    </row>
    <row r="115" spans="1:2" x14ac:dyDescent="0.35">
      <c r="A115" s="5" t="s">
        <v>494</v>
      </c>
      <c r="B115" s="2">
        <v>122</v>
      </c>
    </row>
    <row r="116" spans="1:2" x14ac:dyDescent="0.35">
      <c r="A116" s="5" t="s">
        <v>139</v>
      </c>
      <c r="B116" s="2">
        <v>350</v>
      </c>
    </row>
    <row r="117" spans="1:2" x14ac:dyDescent="0.35">
      <c r="A117" s="5" t="s">
        <v>444</v>
      </c>
      <c r="B117" s="2">
        <v>148</v>
      </c>
    </row>
    <row r="118" spans="1:2" x14ac:dyDescent="0.35">
      <c r="A118" s="5" t="s">
        <v>1138</v>
      </c>
      <c r="B118" s="2">
        <v>54649</v>
      </c>
    </row>
    <row r="119" spans="1:2" x14ac:dyDescent="0.35">
      <c r="A119" s="6" t="s">
        <v>1139</v>
      </c>
      <c r="B119" s="7">
        <f>MAX(B4:B117)</f>
        <v>12555</v>
      </c>
    </row>
    <row r="120" spans="1:2" x14ac:dyDescent="0.35">
      <c r="A120" s="6" t="s">
        <v>1140</v>
      </c>
      <c r="B120" s="7">
        <f>MIN(B4:B117)</f>
        <v>4</v>
      </c>
    </row>
    <row r="121" spans="1:2" x14ac:dyDescent="0.35">
      <c r="A121" s="6" t="s">
        <v>1141</v>
      </c>
      <c r="B121" s="7">
        <f>AVERAGE(B4:B117)</f>
        <v>479.37719298245617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593"/>
  <sheetViews>
    <sheetView tabSelected="1" topLeftCell="A105" workbookViewId="0">
      <selection activeCell="D2" sqref="A2:G585"/>
    </sheetView>
  </sheetViews>
  <sheetFormatPr defaultRowHeight="14.5" x14ac:dyDescent="0.35"/>
  <cols>
    <col min="1" max="1" width="80.7265625" bestFit="1" customWidth="1"/>
    <col min="2" max="2" width="36.26953125" bestFit="1" customWidth="1"/>
    <col min="3" max="3" width="10.7265625" bestFit="1" customWidth="1"/>
    <col min="4" max="4" width="10.1796875" bestFit="1" customWidth="1"/>
    <col min="5" max="5" width="25.6328125" bestFit="1" customWidth="1"/>
    <col min="6" max="6" width="13.5429687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1150</v>
      </c>
      <c r="G1" t="s">
        <v>1151</v>
      </c>
    </row>
    <row r="2" spans="1:7" x14ac:dyDescent="0.35">
      <c r="A2" s="2" t="s">
        <v>177</v>
      </c>
      <c r="B2" s="2" t="s">
        <v>29</v>
      </c>
      <c r="C2" s="3">
        <v>42986</v>
      </c>
      <c r="D2">
        <v>99</v>
      </c>
      <c r="E2" s="2" t="s">
        <v>20</v>
      </c>
      <c r="F2" s="2">
        <v>93.58</v>
      </c>
      <c r="G2" s="2" t="str">
        <f>IF(F2&gt;D2,"Yes","No")</f>
        <v>No</v>
      </c>
    </row>
    <row r="3" spans="1:7" x14ac:dyDescent="0.35">
      <c r="A3" s="2" t="s">
        <v>1105</v>
      </c>
      <c r="B3" s="2" t="s">
        <v>6</v>
      </c>
      <c r="C3" s="3">
        <v>42650</v>
      </c>
      <c r="D3">
        <v>100</v>
      </c>
      <c r="E3" s="2" t="s">
        <v>20</v>
      </c>
      <c r="F3" s="2">
        <v>93.58</v>
      </c>
      <c r="G3" s="2" t="str">
        <f>IF(F3&gt;D3,"Yes","No")</f>
        <v>No</v>
      </c>
    </row>
    <row r="4" spans="1:7" x14ac:dyDescent="0.35">
      <c r="A4" s="2" t="s">
        <v>905</v>
      </c>
      <c r="B4" s="2" t="s">
        <v>180</v>
      </c>
      <c r="C4" s="3">
        <v>42761</v>
      </c>
      <c r="D4">
        <v>36</v>
      </c>
      <c r="E4" s="2" t="s">
        <v>20</v>
      </c>
      <c r="F4" s="2">
        <v>93.58</v>
      </c>
      <c r="G4" s="2" t="str">
        <f>IF(F4&gt;D4,"Yes","No")</f>
        <v>Yes</v>
      </c>
    </row>
    <row r="5" spans="1:7" x14ac:dyDescent="0.35">
      <c r="A5" s="2" t="s">
        <v>1130</v>
      </c>
      <c r="B5" s="2" t="s">
        <v>215</v>
      </c>
      <c r="C5" s="3">
        <v>43553</v>
      </c>
      <c r="D5">
        <v>124</v>
      </c>
      <c r="E5" s="2" t="s">
        <v>190</v>
      </c>
      <c r="F5" s="2">
        <v>93.58</v>
      </c>
      <c r="G5" s="2" t="str">
        <f>IF(F5&gt;D5,"Yes","No")</f>
        <v>No</v>
      </c>
    </row>
    <row r="6" spans="1:7" x14ac:dyDescent="0.35">
      <c r="A6" s="2" t="s">
        <v>1132</v>
      </c>
      <c r="B6" s="2" t="s">
        <v>569</v>
      </c>
      <c r="C6" s="3">
        <v>43028</v>
      </c>
      <c r="D6">
        <v>102</v>
      </c>
      <c r="E6" s="2" t="s">
        <v>20</v>
      </c>
      <c r="F6" s="2">
        <v>93.58</v>
      </c>
      <c r="G6" s="2" t="str">
        <f>IF(F6&gt;D6,"Yes","No")</f>
        <v>No</v>
      </c>
    </row>
    <row r="7" spans="1:7" x14ac:dyDescent="0.35">
      <c r="A7" s="2" t="s">
        <v>1134</v>
      </c>
      <c r="B7" s="2" t="s">
        <v>43</v>
      </c>
      <c r="C7" s="3">
        <v>43383</v>
      </c>
      <c r="D7">
        <v>144</v>
      </c>
      <c r="E7" s="2" t="s">
        <v>20</v>
      </c>
      <c r="F7" s="2">
        <v>93.58</v>
      </c>
      <c r="G7" s="2" t="str">
        <f>IF(F7&gt;D7,"Yes","No")</f>
        <v>No</v>
      </c>
    </row>
    <row r="8" spans="1:7" x14ac:dyDescent="0.35">
      <c r="A8" s="2" t="s">
        <v>89</v>
      </c>
      <c r="B8" s="2" t="s">
        <v>29</v>
      </c>
      <c r="C8" s="3">
        <v>43441</v>
      </c>
      <c r="D8">
        <v>95</v>
      </c>
      <c r="E8" s="2" t="s">
        <v>16</v>
      </c>
      <c r="F8" s="2">
        <v>93.58</v>
      </c>
      <c r="G8" s="2" t="str">
        <f>IF(F8&gt;D8,"Yes","No")</f>
        <v>No</v>
      </c>
    </row>
    <row r="9" spans="1:7" x14ac:dyDescent="0.35">
      <c r="A9" s="2" t="s">
        <v>437</v>
      </c>
      <c r="B9" s="2" t="s">
        <v>43</v>
      </c>
      <c r="C9" s="3">
        <v>43196</v>
      </c>
      <c r="D9">
        <v>75</v>
      </c>
      <c r="E9" s="2" t="s">
        <v>20</v>
      </c>
      <c r="F9" s="2">
        <v>93.58</v>
      </c>
      <c r="G9" s="2" t="str">
        <f>IF(F9&gt;D9,"Yes","No")</f>
        <v>Yes</v>
      </c>
    </row>
    <row r="10" spans="1:7" x14ac:dyDescent="0.35">
      <c r="A10" s="2" t="s">
        <v>496</v>
      </c>
      <c r="B10" s="2" t="s">
        <v>26</v>
      </c>
      <c r="C10" s="3">
        <v>43812</v>
      </c>
      <c r="D10">
        <v>128</v>
      </c>
      <c r="E10" s="2" t="s">
        <v>20</v>
      </c>
      <c r="F10" s="2">
        <v>93.58</v>
      </c>
      <c r="G10" s="2" t="str">
        <f>IF(F10&gt;D10,"Yes","No")</f>
        <v>No</v>
      </c>
    </row>
    <row r="11" spans="1:7" x14ac:dyDescent="0.35">
      <c r="A11" s="2" t="s">
        <v>1135</v>
      </c>
      <c r="B11" s="2" t="s">
        <v>43</v>
      </c>
      <c r="C11" s="3">
        <v>42671</v>
      </c>
      <c r="D11">
        <v>76</v>
      </c>
      <c r="E11" s="2" t="s">
        <v>12</v>
      </c>
      <c r="F11" s="2">
        <v>93.58</v>
      </c>
      <c r="G11" s="2" t="str">
        <f>IF(F11&gt;D11,"Yes","No")</f>
        <v>Yes</v>
      </c>
    </row>
    <row r="12" spans="1:7" x14ac:dyDescent="0.35">
      <c r="A12" s="2" t="s">
        <v>682</v>
      </c>
      <c r="B12" s="2" t="s">
        <v>6</v>
      </c>
      <c r="C12" s="3">
        <v>43766</v>
      </c>
      <c r="D12">
        <v>28</v>
      </c>
      <c r="E12" s="2" t="s">
        <v>93</v>
      </c>
      <c r="F12" s="2">
        <v>93.58</v>
      </c>
      <c r="G12" s="2" t="str">
        <f>IF(F12&gt;D12,"Yes","No")</f>
        <v>Yes</v>
      </c>
    </row>
    <row r="13" spans="1:7" x14ac:dyDescent="0.35">
      <c r="A13" s="2" t="s">
        <v>239</v>
      </c>
      <c r="B13" s="2" t="s">
        <v>240</v>
      </c>
      <c r="C13" s="3">
        <v>44119</v>
      </c>
      <c r="D13">
        <v>98</v>
      </c>
      <c r="E13" s="2" t="s">
        <v>20</v>
      </c>
      <c r="F13" s="2">
        <v>93.58</v>
      </c>
      <c r="G13" s="2" t="str">
        <f>IF(F13&gt;D13,"Yes","No")</f>
        <v>No</v>
      </c>
    </row>
    <row r="14" spans="1:7" x14ac:dyDescent="0.35">
      <c r="A14" s="2" t="s">
        <v>384</v>
      </c>
      <c r="B14" s="2" t="s">
        <v>47</v>
      </c>
      <c r="C14" s="3">
        <v>44179</v>
      </c>
      <c r="D14">
        <v>107</v>
      </c>
      <c r="E14" s="2" t="s">
        <v>20</v>
      </c>
      <c r="F14" s="2">
        <v>93.58</v>
      </c>
      <c r="G14" s="2" t="str">
        <f>IF(F14&gt;D14,"Yes","No")</f>
        <v>No</v>
      </c>
    </row>
    <row r="15" spans="1:7" x14ac:dyDescent="0.35">
      <c r="A15" s="2" t="s">
        <v>386</v>
      </c>
      <c r="B15" s="2" t="s">
        <v>47</v>
      </c>
      <c r="C15" s="3">
        <v>43056</v>
      </c>
      <c r="D15">
        <v>92</v>
      </c>
      <c r="E15" s="2" t="s">
        <v>20</v>
      </c>
      <c r="F15" s="2">
        <v>93.58</v>
      </c>
      <c r="G15" s="2" t="str">
        <f>IF(F15&gt;D15,"Yes","No")</f>
        <v>Yes</v>
      </c>
    </row>
    <row r="16" spans="1:7" x14ac:dyDescent="0.35">
      <c r="A16" s="2" t="s">
        <v>241</v>
      </c>
      <c r="B16" s="2" t="s">
        <v>47</v>
      </c>
      <c r="C16" s="3">
        <v>43804</v>
      </c>
      <c r="D16">
        <v>85</v>
      </c>
      <c r="E16" s="2" t="s">
        <v>20</v>
      </c>
      <c r="F16" s="2">
        <v>93.58</v>
      </c>
      <c r="G16" s="2" t="str">
        <f>IF(F16&gt;D16,"Yes","No")</f>
        <v>Yes</v>
      </c>
    </row>
    <row r="17" spans="1:7" x14ac:dyDescent="0.35">
      <c r="A17" s="2" t="s">
        <v>219</v>
      </c>
      <c r="B17" s="2" t="s">
        <v>47</v>
      </c>
      <c r="C17" s="3">
        <v>43434</v>
      </c>
      <c r="D17">
        <v>92</v>
      </c>
      <c r="E17" s="2" t="s">
        <v>20</v>
      </c>
      <c r="F17" s="2">
        <v>93.58</v>
      </c>
      <c r="G17" s="2" t="str">
        <f>IF(F17&gt;D17,"Yes","No")</f>
        <v>Yes</v>
      </c>
    </row>
    <row r="18" spans="1:7" x14ac:dyDescent="0.35">
      <c r="A18" s="2" t="s">
        <v>439</v>
      </c>
      <c r="B18" s="2" t="s">
        <v>10</v>
      </c>
      <c r="C18" s="3">
        <v>43847</v>
      </c>
      <c r="D18">
        <v>120</v>
      </c>
      <c r="E18" s="2" t="s">
        <v>20</v>
      </c>
      <c r="F18" s="2">
        <v>93.58</v>
      </c>
      <c r="G18" s="2" t="str">
        <f>IF(F18&gt;D18,"Yes","No")</f>
        <v>No</v>
      </c>
    </row>
    <row r="19" spans="1:7" x14ac:dyDescent="0.35">
      <c r="A19" s="2" t="s">
        <v>807</v>
      </c>
      <c r="B19" s="2" t="s">
        <v>808</v>
      </c>
      <c r="C19" s="3">
        <v>43126</v>
      </c>
      <c r="D19">
        <v>101</v>
      </c>
      <c r="E19" s="2" t="s">
        <v>20</v>
      </c>
      <c r="F19" s="2">
        <v>93.58</v>
      </c>
      <c r="G19" s="2" t="str">
        <f>IF(F19&gt;D19,"Yes","No")</f>
        <v>No</v>
      </c>
    </row>
    <row r="20" spans="1:7" x14ac:dyDescent="0.35">
      <c r="A20" s="2" t="s">
        <v>810</v>
      </c>
      <c r="B20" s="2" t="s">
        <v>6</v>
      </c>
      <c r="C20" s="3">
        <v>43910</v>
      </c>
      <c r="D20">
        <v>92</v>
      </c>
      <c r="E20" s="2" t="s">
        <v>12</v>
      </c>
      <c r="F20" s="2">
        <v>93.58</v>
      </c>
      <c r="G20" s="2" t="str">
        <f>IF(F20&gt;D20,"Yes","No")</f>
        <v>Yes</v>
      </c>
    </row>
    <row r="21" spans="1:7" x14ac:dyDescent="0.35">
      <c r="A21" s="2" t="s">
        <v>811</v>
      </c>
      <c r="B21" s="2" t="s">
        <v>6</v>
      </c>
      <c r="C21" s="3">
        <v>44095</v>
      </c>
      <c r="D21">
        <v>19</v>
      </c>
      <c r="E21" s="2" t="s">
        <v>20</v>
      </c>
      <c r="F21" s="2">
        <v>93.58</v>
      </c>
      <c r="G21" s="2" t="str">
        <f>IF(F21&gt;D21,"Yes","No")</f>
        <v>Yes</v>
      </c>
    </row>
    <row r="22" spans="1:7" x14ac:dyDescent="0.35">
      <c r="A22" s="2" t="s">
        <v>1092</v>
      </c>
      <c r="B22" s="2" t="s">
        <v>6</v>
      </c>
      <c r="C22" s="3">
        <v>43950</v>
      </c>
      <c r="D22">
        <v>82</v>
      </c>
      <c r="E22" s="2" t="s">
        <v>20</v>
      </c>
      <c r="F22" s="2">
        <v>93.58</v>
      </c>
      <c r="G22" s="2" t="str">
        <f>IF(F22&gt;D22,"Yes","No")</f>
        <v>Yes</v>
      </c>
    </row>
    <row r="23" spans="1:7" x14ac:dyDescent="0.35">
      <c r="A23" s="2" t="s">
        <v>571</v>
      </c>
      <c r="B23" s="2" t="s">
        <v>6</v>
      </c>
      <c r="C23" s="3">
        <v>43607</v>
      </c>
      <c r="D23">
        <v>30</v>
      </c>
      <c r="E23" s="2" t="s">
        <v>93</v>
      </c>
      <c r="F23" s="2">
        <v>93.58</v>
      </c>
      <c r="G23" s="2" t="str">
        <f>IF(F23&gt;D23,"Yes","No")</f>
        <v>Yes</v>
      </c>
    </row>
    <row r="24" spans="1:7" x14ac:dyDescent="0.35">
      <c r="A24" s="2" t="s">
        <v>266</v>
      </c>
      <c r="B24" s="2" t="s">
        <v>267</v>
      </c>
      <c r="C24" s="3">
        <v>42342</v>
      </c>
      <c r="D24">
        <v>56</v>
      </c>
      <c r="E24" s="2" t="s">
        <v>20</v>
      </c>
      <c r="F24" s="2">
        <v>93.58</v>
      </c>
      <c r="G24" s="2" t="str">
        <f>IF(F24&gt;D24,"Yes","No")</f>
        <v>Yes</v>
      </c>
    </row>
    <row r="25" spans="1:7" x14ac:dyDescent="0.35">
      <c r="A25" s="2" t="s">
        <v>338</v>
      </c>
      <c r="B25" s="2" t="s">
        <v>339</v>
      </c>
      <c r="C25" s="3">
        <v>44281</v>
      </c>
      <c r="D25">
        <v>97</v>
      </c>
      <c r="E25" s="2" t="s">
        <v>20</v>
      </c>
      <c r="F25" s="2">
        <v>93.58</v>
      </c>
      <c r="G25" s="2" t="str">
        <f>IF(F25&gt;D25,"Yes","No")</f>
        <v>No</v>
      </c>
    </row>
    <row r="26" spans="1:7" x14ac:dyDescent="0.35">
      <c r="A26" s="2" t="s">
        <v>759</v>
      </c>
      <c r="B26" s="2" t="s">
        <v>760</v>
      </c>
      <c r="C26" s="3">
        <v>44000</v>
      </c>
      <c r="D26">
        <v>104</v>
      </c>
      <c r="E26" s="2" t="s">
        <v>293</v>
      </c>
      <c r="F26" s="2">
        <v>93.58</v>
      </c>
      <c r="G26" s="2" t="str">
        <f>IF(F26&gt;D26,"Yes","No")</f>
        <v>No</v>
      </c>
    </row>
    <row r="27" spans="1:7" x14ac:dyDescent="0.35">
      <c r="A27" s="2" t="s">
        <v>91</v>
      </c>
      <c r="B27" s="2" t="s">
        <v>6</v>
      </c>
      <c r="C27" s="3">
        <v>43609</v>
      </c>
      <c r="D27">
        <v>37</v>
      </c>
      <c r="E27" s="2" t="s">
        <v>93</v>
      </c>
      <c r="F27" s="2">
        <v>93.58</v>
      </c>
      <c r="G27" s="2" t="str">
        <f>IF(F27&gt;D27,"Yes","No")</f>
        <v>Yes</v>
      </c>
    </row>
    <row r="28" spans="1:7" x14ac:dyDescent="0.35">
      <c r="A28" s="2" t="s">
        <v>56</v>
      </c>
      <c r="B28" s="2" t="s">
        <v>6</v>
      </c>
      <c r="C28" s="3">
        <v>43818</v>
      </c>
      <c r="D28">
        <v>25</v>
      </c>
      <c r="E28" s="2" t="s">
        <v>12</v>
      </c>
      <c r="F28" s="2">
        <v>93.58</v>
      </c>
      <c r="G28" s="2" t="str">
        <f>IF(F28&gt;D28,"Yes","No")</f>
        <v>Yes</v>
      </c>
    </row>
    <row r="29" spans="1:7" x14ac:dyDescent="0.35">
      <c r="A29" s="2" t="s">
        <v>150</v>
      </c>
      <c r="B29" s="2" t="s">
        <v>29</v>
      </c>
      <c r="C29" s="3">
        <v>43853</v>
      </c>
      <c r="D29">
        <v>96</v>
      </c>
      <c r="E29" s="2" t="s">
        <v>102</v>
      </c>
      <c r="F29" s="2">
        <v>93.58</v>
      </c>
      <c r="G29" s="2" t="str">
        <f>IF(F29&gt;D29,"Yes","No")</f>
        <v>No</v>
      </c>
    </row>
    <row r="30" spans="1:7" x14ac:dyDescent="0.35">
      <c r="A30" s="2" t="s">
        <v>761</v>
      </c>
      <c r="B30" s="2" t="s">
        <v>43</v>
      </c>
      <c r="C30" s="3">
        <v>44302</v>
      </c>
      <c r="D30">
        <v>142</v>
      </c>
      <c r="E30" s="2" t="s">
        <v>24</v>
      </c>
      <c r="F30" s="2">
        <v>93.58</v>
      </c>
      <c r="G30" s="2" t="str">
        <f>IF(F30&gt;D30,"Yes","No")</f>
        <v>No</v>
      </c>
    </row>
    <row r="31" spans="1:7" x14ac:dyDescent="0.35">
      <c r="A31" s="2" t="s">
        <v>843</v>
      </c>
      <c r="B31" s="2" t="s">
        <v>10</v>
      </c>
      <c r="C31" s="3">
        <v>44189</v>
      </c>
      <c r="D31">
        <v>108</v>
      </c>
      <c r="E31" s="2" t="s">
        <v>24</v>
      </c>
      <c r="F31" s="2">
        <v>93.58</v>
      </c>
      <c r="G31" s="2" t="str">
        <f>IF(F31&gt;D31,"Yes","No")</f>
        <v>No</v>
      </c>
    </row>
    <row r="32" spans="1:7" x14ac:dyDescent="0.35">
      <c r="A32" s="2" t="s">
        <v>573</v>
      </c>
      <c r="B32" s="2" t="s">
        <v>47</v>
      </c>
      <c r="C32" s="3">
        <v>43259</v>
      </c>
      <c r="D32">
        <v>99</v>
      </c>
      <c r="E32" s="2" t="s">
        <v>20</v>
      </c>
      <c r="F32" s="2">
        <v>93.58</v>
      </c>
      <c r="G32" s="2" t="str">
        <f>IF(F32&gt;D32,"Yes","No")</f>
        <v>No</v>
      </c>
    </row>
    <row r="33" spans="1:7" x14ac:dyDescent="0.35">
      <c r="A33" s="2" t="s">
        <v>542</v>
      </c>
      <c r="B33" s="2" t="s">
        <v>543</v>
      </c>
      <c r="C33" s="3">
        <v>44155</v>
      </c>
      <c r="D33">
        <v>42</v>
      </c>
      <c r="E33" s="2" t="s">
        <v>20</v>
      </c>
      <c r="F33" s="2">
        <v>93.58</v>
      </c>
      <c r="G33" s="2" t="str">
        <f>IF(F33&gt;D33,"Yes","No")</f>
        <v>Yes</v>
      </c>
    </row>
    <row r="34" spans="1:7" x14ac:dyDescent="0.35">
      <c r="A34" s="2" t="s">
        <v>50</v>
      </c>
      <c r="B34" s="2" t="s">
        <v>51</v>
      </c>
      <c r="C34" s="3">
        <v>44105</v>
      </c>
      <c r="D34">
        <v>101</v>
      </c>
      <c r="E34" s="2" t="s">
        <v>53</v>
      </c>
      <c r="F34" s="2">
        <v>93.58</v>
      </c>
      <c r="G34" s="2" t="str">
        <f>IF(F34&gt;D34,"Yes","No")</f>
        <v>No</v>
      </c>
    </row>
    <row r="35" spans="1:7" x14ac:dyDescent="0.35">
      <c r="A35" s="2" t="s">
        <v>388</v>
      </c>
      <c r="B35" s="2" t="s">
        <v>43</v>
      </c>
      <c r="C35" s="3">
        <v>43952</v>
      </c>
      <c r="D35">
        <v>121</v>
      </c>
      <c r="E35" s="2" t="s">
        <v>20</v>
      </c>
      <c r="F35" s="2">
        <v>93.58</v>
      </c>
      <c r="G35" s="2" t="str">
        <f>IF(F35&gt;D35,"Yes","No")</f>
        <v>No</v>
      </c>
    </row>
    <row r="36" spans="1:7" x14ac:dyDescent="0.35">
      <c r="A36" s="2" t="s">
        <v>813</v>
      </c>
      <c r="B36" s="2" t="s">
        <v>6</v>
      </c>
      <c r="C36" s="3">
        <v>43588</v>
      </c>
      <c r="D36">
        <v>39</v>
      </c>
      <c r="E36" s="2" t="s">
        <v>814</v>
      </c>
      <c r="F36" s="2">
        <v>93.58</v>
      </c>
      <c r="G36" s="2" t="str">
        <f>IF(F36&gt;D36,"Yes","No")</f>
        <v>Yes</v>
      </c>
    </row>
    <row r="37" spans="1:7" x14ac:dyDescent="0.35">
      <c r="A37" s="2" t="s">
        <v>684</v>
      </c>
      <c r="B37" s="2" t="s">
        <v>322</v>
      </c>
      <c r="C37" s="3">
        <v>43889</v>
      </c>
      <c r="D37">
        <v>108</v>
      </c>
      <c r="E37" s="2" t="s">
        <v>20</v>
      </c>
      <c r="F37" s="2">
        <v>93.58</v>
      </c>
      <c r="G37" s="2" t="str">
        <f>IF(F37&gt;D37,"Yes","No")</f>
        <v>No</v>
      </c>
    </row>
    <row r="38" spans="1:7" x14ac:dyDescent="0.35">
      <c r="A38" s="2" t="s">
        <v>686</v>
      </c>
      <c r="B38" s="2" t="s">
        <v>43</v>
      </c>
      <c r="C38" s="3">
        <v>44071</v>
      </c>
      <c r="D38">
        <v>93</v>
      </c>
      <c r="E38" s="2" t="s">
        <v>20</v>
      </c>
      <c r="F38" s="2">
        <v>93.58</v>
      </c>
      <c r="G38" s="2" t="str">
        <f>IF(F38&gt;D38,"Yes","No")</f>
        <v>Yes</v>
      </c>
    </row>
    <row r="39" spans="1:7" x14ac:dyDescent="0.35">
      <c r="A39" s="2" t="s">
        <v>687</v>
      </c>
      <c r="B39" s="2" t="s">
        <v>688</v>
      </c>
      <c r="C39" s="3">
        <v>43909</v>
      </c>
      <c r="D39">
        <v>74</v>
      </c>
      <c r="E39" s="2" t="s">
        <v>293</v>
      </c>
      <c r="F39" s="2">
        <v>93.58</v>
      </c>
      <c r="G39" s="2" t="str">
        <f>IF(F39&gt;D39,"Yes","No")</f>
        <v>Yes</v>
      </c>
    </row>
    <row r="40" spans="1:7" x14ac:dyDescent="0.35">
      <c r="A40" s="2" t="s">
        <v>815</v>
      </c>
      <c r="B40" s="2" t="s">
        <v>47</v>
      </c>
      <c r="C40" s="3">
        <v>43616</v>
      </c>
      <c r="D40">
        <v>102</v>
      </c>
      <c r="E40" s="2" t="s">
        <v>20</v>
      </c>
      <c r="F40" s="2">
        <v>93.58</v>
      </c>
      <c r="G40" s="2" t="str">
        <f>IF(F40&gt;D40,"Yes","No")</f>
        <v>No</v>
      </c>
    </row>
    <row r="41" spans="1:7" x14ac:dyDescent="0.35">
      <c r="A41" s="2" t="s">
        <v>845</v>
      </c>
      <c r="B41" s="2" t="s">
        <v>6</v>
      </c>
      <c r="C41" s="3">
        <v>42643</v>
      </c>
      <c r="D41">
        <v>92</v>
      </c>
      <c r="E41" s="2" t="s">
        <v>20</v>
      </c>
      <c r="F41" s="2">
        <v>93.58</v>
      </c>
      <c r="G41" s="2" t="str">
        <f>IF(F41&gt;D41,"Yes","No")</f>
        <v>Yes</v>
      </c>
    </row>
    <row r="42" spans="1:7" x14ac:dyDescent="0.35">
      <c r="A42" s="2" t="s">
        <v>441</v>
      </c>
      <c r="B42" s="2" t="s">
        <v>442</v>
      </c>
      <c r="C42" s="3">
        <v>43196</v>
      </c>
      <c r="D42">
        <v>96</v>
      </c>
      <c r="E42" s="2" t="s">
        <v>20</v>
      </c>
      <c r="F42" s="2">
        <v>93.58</v>
      </c>
      <c r="G42" s="2" t="str">
        <f>IF(F42&gt;D42,"Yes","No")</f>
        <v>No</v>
      </c>
    </row>
    <row r="43" spans="1:7" x14ac:dyDescent="0.35">
      <c r="A43" s="2" t="s">
        <v>1023</v>
      </c>
      <c r="B43" s="2" t="s">
        <v>6</v>
      </c>
      <c r="C43" s="3">
        <v>43698</v>
      </c>
      <c r="D43">
        <v>110</v>
      </c>
      <c r="E43" s="2" t="s">
        <v>20</v>
      </c>
      <c r="F43" s="2">
        <v>93.58</v>
      </c>
      <c r="G43" s="2" t="str">
        <f>IF(F43&gt;D43,"Yes","No")</f>
        <v>No</v>
      </c>
    </row>
    <row r="44" spans="1:7" x14ac:dyDescent="0.35">
      <c r="A44" s="2" t="s">
        <v>179</v>
      </c>
      <c r="B44" s="2" t="s">
        <v>180</v>
      </c>
      <c r="C44" s="3">
        <v>43698</v>
      </c>
      <c r="D44">
        <v>10</v>
      </c>
      <c r="E44" s="2" t="s">
        <v>20</v>
      </c>
      <c r="F44" s="2">
        <v>93.58</v>
      </c>
      <c r="G44" s="2" t="str">
        <f>IF(F44&gt;D44,"Yes","No")</f>
        <v>Yes</v>
      </c>
    </row>
    <row r="45" spans="1:7" x14ac:dyDescent="0.35">
      <c r="A45" s="2" t="s">
        <v>948</v>
      </c>
      <c r="B45" s="2" t="s">
        <v>6</v>
      </c>
      <c r="C45" s="3">
        <v>44104</v>
      </c>
      <c r="D45">
        <v>82</v>
      </c>
      <c r="E45" s="2" t="s">
        <v>20</v>
      </c>
      <c r="F45" s="2">
        <v>93.58</v>
      </c>
      <c r="G45" s="2" t="str">
        <f>IF(F45&gt;D45,"Yes","No")</f>
        <v>Yes</v>
      </c>
    </row>
    <row r="46" spans="1:7" x14ac:dyDescent="0.35">
      <c r="A46" s="2" t="s">
        <v>389</v>
      </c>
      <c r="B46" s="2" t="s">
        <v>43</v>
      </c>
      <c r="C46" s="3">
        <v>43770</v>
      </c>
      <c r="D46">
        <v>90</v>
      </c>
      <c r="E46" s="2" t="s">
        <v>20</v>
      </c>
      <c r="F46" s="2">
        <v>93.58</v>
      </c>
      <c r="G46" s="2" t="str">
        <f>IF(F46&gt;D46,"Yes","No")</f>
        <v>Yes</v>
      </c>
    </row>
    <row r="47" spans="1:7" x14ac:dyDescent="0.35">
      <c r="A47" s="2" t="s">
        <v>628</v>
      </c>
      <c r="B47" s="2" t="s">
        <v>6</v>
      </c>
      <c r="C47" s="3">
        <v>44048</v>
      </c>
      <c r="D47">
        <v>94</v>
      </c>
      <c r="E47" s="2" t="s">
        <v>88</v>
      </c>
      <c r="F47" s="2">
        <v>93.58</v>
      </c>
      <c r="G47" s="2" t="str">
        <f>IF(F47&gt;D47,"Yes","No")</f>
        <v>No</v>
      </c>
    </row>
    <row r="48" spans="1:7" x14ac:dyDescent="0.35">
      <c r="A48" s="2" t="s">
        <v>907</v>
      </c>
      <c r="B48" s="2" t="s">
        <v>175</v>
      </c>
      <c r="C48" s="3">
        <v>43434</v>
      </c>
      <c r="D48">
        <v>30</v>
      </c>
      <c r="E48" s="2" t="s">
        <v>20</v>
      </c>
      <c r="F48" s="2">
        <v>93.58</v>
      </c>
      <c r="G48" s="2" t="str">
        <f>IF(F48&gt;D48,"Yes","No")</f>
        <v>Yes</v>
      </c>
    </row>
    <row r="49" spans="1:7" x14ac:dyDescent="0.35">
      <c r="A49" s="2" t="s">
        <v>908</v>
      </c>
      <c r="B49" s="2" t="s">
        <v>175</v>
      </c>
      <c r="C49" s="3">
        <v>44166</v>
      </c>
      <c r="D49">
        <v>47</v>
      </c>
      <c r="E49" s="2" t="s">
        <v>20</v>
      </c>
      <c r="F49" s="2">
        <v>93.58</v>
      </c>
      <c r="G49" s="2" t="str">
        <f>IF(F49&gt;D49,"Yes","No")</f>
        <v>Yes</v>
      </c>
    </row>
    <row r="50" spans="1:7" x14ac:dyDescent="0.35">
      <c r="A50" s="2" t="s">
        <v>1073</v>
      </c>
      <c r="B50" s="2" t="s">
        <v>1074</v>
      </c>
      <c r="C50" s="3">
        <v>43643</v>
      </c>
      <c r="D50">
        <v>15</v>
      </c>
      <c r="E50" s="2" t="s">
        <v>20</v>
      </c>
      <c r="F50" s="2">
        <v>93.58</v>
      </c>
      <c r="G50" s="2" t="str">
        <f>IF(F50&gt;D50,"Yes","No")</f>
        <v>Yes</v>
      </c>
    </row>
    <row r="51" spans="1:7" x14ac:dyDescent="0.35">
      <c r="A51" s="2" t="s">
        <v>690</v>
      </c>
      <c r="B51" s="2" t="s">
        <v>6</v>
      </c>
      <c r="C51" s="3">
        <v>43545</v>
      </c>
      <c r="D51">
        <v>60</v>
      </c>
      <c r="E51" s="2" t="s">
        <v>88</v>
      </c>
      <c r="F51" s="2">
        <v>93.58</v>
      </c>
      <c r="G51" s="2" t="str">
        <f>IF(F51&gt;D51,"Yes","No")</f>
        <v>Yes</v>
      </c>
    </row>
    <row r="52" spans="1:7" x14ac:dyDescent="0.35">
      <c r="A52" s="2" t="s">
        <v>575</v>
      </c>
      <c r="B52" s="2" t="s">
        <v>535</v>
      </c>
      <c r="C52" s="3">
        <v>43385</v>
      </c>
      <c r="D52">
        <v>129</v>
      </c>
      <c r="E52" s="2" t="s">
        <v>20</v>
      </c>
      <c r="F52" s="2">
        <v>93.58</v>
      </c>
      <c r="G52" s="2" t="str">
        <f>IF(F52&gt;D52,"Yes","No")</f>
        <v>No</v>
      </c>
    </row>
    <row r="53" spans="1:7" x14ac:dyDescent="0.35">
      <c r="A53" s="2" t="s">
        <v>630</v>
      </c>
      <c r="B53" s="2" t="s">
        <v>631</v>
      </c>
      <c r="C53" s="3">
        <v>44186</v>
      </c>
      <c r="D53">
        <v>97</v>
      </c>
      <c r="E53" s="2" t="s">
        <v>20</v>
      </c>
      <c r="F53" s="2">
        <v>93.58</v>
      </c>
      <c r="G53" s="2" t="str">
        <f>IF(F53&gt;D53,"Yes","No")</f>
        <v>No</v>
      </c>
    </row>
    <row r="54" spans="1:7" x14ac:dyDescent="0.35">
      <c r="A54" s="2" t="s">
        <v>763</v>
      </c>
      <c r="B54" s="2" t="s">
        <v>764</v>
      </c>
      <c r="C54" s="3">
        <v>44302</v>
      </c>
      <c r="D54">
        <v>92</v>
      </c>
      <c r="E54" s="2" t="s">
        <v>20</v>
      </c>
      <c r="F54" s="2">
        <v>93.58</v>
      </c>
      <c r="G54" s="2" t="str">
        <f>IF(F54&gt;D54,"Yes","No")</f>
        <v>Yes</v>
      </c>
    </row>
    <row r="55" spans="1:7" x14ac:dyDescent="0.35">
      <c r="A55" s="2" t="s">
        <v>443</v>
      </c>
      <c r="B55" s="2" t="s">
        <v>444</v>
      </c>
      <c r="C55" s="3">
        <v>44337</v>
      </c>
      <c r="D55">
        <v>148</v>
      </c>
      <c r="E55" s="2" t="s">
        <v>20</v>
      </c>
      <c r="F55" s="2">
        <v>93.58</v>
      </c>
      <c r="G55" s="2" t="str">
        <f>IF(F55&gt;D55,"Yes","No")</f>
        <v>No</v>
      </c>
    </row>
    <row r="56" spans="1:7" x14ac:dyDescent="0.35">
      <c r="A56" s="2" t="s">
        <v>633</v>
      </c>
      <c r="B56" s="2" t="s">
        <v>397</v>
      </c>
      <c r="C56" s="3">
        <v>42629</v>
      </c>
      <c r="D56">
        <v>88</v>
      </c>
      <c r="E56" s="2" t="s">
        <v>20</v>
      </c>
      <c r="F56" s="2">
        <v>93.58</v>
      </c>
      <c r="G56" s="2" t="str">
        <f>IF(F56&gt;D56,"Yes","No")</f>
        <v>Yes</v>
      </c>
    </row>
    <row r="57" spans="1:7" x14ac:dyDescent="0.35">
      <c r="A57" s="2" t="s">
        <v>1057</v>
      </c>
      <c r="B57" s="2" t="s">
        <v>6</v>
      </c>
      <c r="C57" s="3">
        <v>44006</v>
      </c>
      <c r="D57">
        <v>104</v>
      </c>
      <c r="E57" s="2" t="s">
        <v>20</v>
      </c>
      <c r="F57" s="2">
        <v>93.58</v>
      </c>
      <c r="G57" s="2" t="str">
        <f>IF(F57&gt;D57,"Yes","No")</f>
        <v>No</v>
      </c>
    </row>
    <row r="58" spans="1:7" x14ac:dyDescent="0.35">
      <c r="A58" s="2" t="s">
        <v>949</v>
      </c>
      <c r="B58" s="2" t="s">
        <v>6</v>
      </c>
      <c r="C58" s="3">
        <v>42636</v>
      </c>
      <c r="D58">
        <v>98</v>
      </c>
      <c r="E58" s="2" t="s">
        <v>20</v>
      </c>
      <c r="F58" s="2">
        <v>93.58</v>
      </c>
      <c r="G58" s="2" t="str">
        <f>IF(F58&gt;D58,"Yes","No")</f>
        <v>No</v>
      </c>
    </row>
    <row r="59" spans="1:7" x14ac:dyDescent="0.35">
      <c r="A59" s="2" t="s">
        <v>221</v>
      </c>
      <c r="B59" s="2" t="s">
        <v>29</v>
      </c>
      <c r="C59" s="3">
        <v>43707</v>
      </c>
      <c r="D59">
        <v>83</v>
      </c>
      <c r="E59" s="2" t="s">
        <v>88</v>
      </c>
      <c r="F59" s="2">
        <v>93.58</v>
      </c>
      <c r="G59" s="2" t="str">
        <f>IF(F59&gt;D59,"Yes","No")</f>
        <v>Yes</v>
      </c>
    </row>
    <row r="60" spans="1:7" x14ac:dyDescent="0.35">
      <c r="A60" s="2" t="s">
        <v>734</v>
      </c>
      <c r="B60" s="2" t="s">
        <v>735</v>
      </c>
      <c r="C60" s="3">
        <v>44281</v>
      </c>
      <c r="D60">
        <v>86</v>
      </c>
      <c r="E60" s="2" t="s">
        <v>20</v>
      </c>
      <c r="F60" s="2">
        <v>93.58</v>
      </c>
      <c r="G60" s="2" t="str">
        <f>IF(F60&gt;D60,"Yes","No")</f>
        <v>Yes</v>
      </c>
    </row>
    <row r="61" spans="1:7" x14ac:dyDescent="0.35">
      <c r="A61" s="2" t="s">
        <v>545</v>
      </c>
      <c r="B61" s="2" t="s">
        <v>391</v>
      </c>
      <c r="C61" s="3">
        <v>44342</v>
      </c>
      <c r="D61">
        <v>92</v>
      </c>
      <c r="E61" s="2" t="s">
        <v>16</v>
      </c>
      <c r="F61" s="2">
        <v>93.58</v>
      </c>
      <c r="G61" s="2" t="str">
        <f>IF(F61&gt;D61,"Yes","No")</f>
        <v>Yes</v>
      </c>
    </row>
    <row r="62" spans="1:7" x14ac:dyDescent="0.35">
      <c r="A62" s="2" t="s">
        <v>1040</v>
      </c>
      <c r="B62" s="2" t="s">
        <v>631</v>
      </c>
      <c r="C62" s="3">
        <v>43061</v>
      </c>
      <c r="D62">
        <v>108</v>
      </c>
      <c r="E62" s="2" t="s">
        <v>20</v>
      </c>
      <c r="F62" s="2">
        <v>93.58</v>
      </c>
      <c r="G62" s="2" t="str">
        <f>IF(F62&gt;D62,"Yes","No")</f>
        <v>No</v>
      </c>
    </row>
    <row r="63" spans="1:7" x14ac:dyDescent="0.35">
      <c r="A63" s="2" t="s">
        <v>390</v>
      </c>
      <c r="B63" s="2" t="s">
        <v>391</v>
      </c>
      <c r="C63" s="3">
        <v>42720</v>
      </c>
      <c r="D63">
        <v>104</v>
      </c>
      <c r="E63" s="2" t="s">
        <v>20</v>
      </c>
      <c r="F63" s="2">
        <v>93.58</v>
      </c>
      <c r="G63" s="2" t="str">
        <f>IF(F63&gt;D63,"Yes","No")</f>
        <v>No</v>
      </c>
    </row>
    <row r="64" spans="1:7" x14ac:dyDescent="0.35">
      <c r="A64" s="2" t="s">
        <v>1076</v>
      </c>
      <c r="B64" s="2" t="s">
        <v>699</v>
      </c>
      <c r="C64" s="3">
        <v>42293</v>
      </c>
      <c r="D64">
        <v>136</v>
      </c>
      <c r="E64" s="2" t="s">
        <v>1078</v>
      </c>
      <c r="F64" s="2">
        <v>93.58</v>
      </c>
      <c r="G64" s="2" t="str">
        <f>IF(F64&gt;D64,"Yes","No")</f>
        <v>No</v>
      </c>
    </row>
    <row r="65" spans="1:7" x14ac:dyDescent="0.35">
      <c r="A65" s="2" t="s">
        <v>910</v>
      </c>
      <c r="B65" s="2" t="s">
        <v>43</v>
      </c>
      <c r="C65" s="3">
        <v>43635</v>
      </c>
      <c r="D65">
        <v>110</v>
      </c>
      <c r="E65" s="2" t="s">
        <v>20</v>
      </c>
      <c r="F65" s="2">
        <v>93.58</v>
      </c>
      <c r="G65" s="2" t="str">
        <f>IF(F65&gt;D65,"Yes","No")</f>
        <v>No</v>
      </c>
    </row>
    <row r="66" spans="1:7" x14ac:dyDescent="0.35">
      <c r="A66" s="2" t="s">
        <v>816</v>
      </c>
      <c r="B66" s="2" t="s">
        <v>6</v>
      </c>
      <c r="C66" s="3">
        <v>43957</v>
      </c>
      <c r="D66">
        <v>89</v>
      </c>
      <c r="E66" s="2" t="s">
        <v>20</v>
      </c>
      <c r="F66" s="2">
        <v>93.58</v>
      </c>
      <c r="G66" s="2" t="str">
        <f>IF(F66&gt;D66,"Yes","No")</f>
        <v>Yes</v>
      </c>
    </row>
    <row r="67" spans="1:7" x14ac:dyDescent="0.35">
      <c r="A67" s="2" t="s">
        <v>269</v>
      </c>
      <c r="B67" s="2" t="s">
        <v>270</v>
      </c>
      <c r="C67" s="3">
        <v>43399</v>
      </c>
      <c r="D67">
        <v>100</v>
      </c>
      <c r="E67" s="2" t="s">
        <v>20</v>
      </c>
      <c r="F67" s="2">
        <v>93.58</v>
      </c>
      <c r="G67" s="2" t="str">
        <f>IF(F67&gt;D67,"Yes","No")</f>
        <v>No</v>
      </c>
    </row>
    <row r="68" spans="1:7" x14ac:dyDescent="0.35">
      <c r="A68" s="2" t="s">
        <v>546</v>
      </c>
      <c r="B68" s="2" t="s">
        <v>43</v>
      </c>
      <c r="C68" s="3">
        <v>44225</v>
      </c>
      <c r="D68">
        <v>106</v>
      </c>
      <c r="E68" s="2" t="s">
        <v>12</v>
      </c>
      <c r="F68" s="2">
        <v>93.58</v>
      </c>
      <c r="G68" s="2" t="str">
        <f>IF(F68&gt;D68,"Yes","No")</f>
        <v>No</v>
      </c>
    </row>
    <row r="69" spans="1:7" x14ac:dyDescent="0.35">
      <c r="A69" s="2" t="s">
        <v>1116</v>
      </c>
      <c r="B69" s="2" t="s">
        <v>631</v>
      </c>
      <c r="C69" s="3">
        <v>43971</v>
      </c>
      <c r="D69">
        <v>85</v>
      </c>
      <c r="E69" s="2" t="s">
        <v>20</v>
      </c>
      <c r="F69" s="2">
        <v>93.58</v>
      </c>
      <c r="G69" s="2" t="str">
        <f>IF(F69&gt;D69,"Yes","No")</f>
        <v>Yes</v>
      </c>
    </row>
    <row r="70" spans="1:7" x14ac:dyDescent="0.35">
      <c r="A70" s="2" t="s">
        <v>577</v>
      </c>
      <c r="B70" s="2" t="s">
        <v>147</v>
      </c>
      <c r="C70" s="3">
        <v>43175</v>
      </c>
      <c r="D70">
        <v>87</v>
      </c>
      <c r="E70" s="2" t="s">
        <v>20</v>
      </c>
      <c r="F70" s="2">
        <v>93.58</v>
      </c>
      <c r="G70" s="2" t="str">
        <f>IF(F70&gt;D70,"Yes","No")</f>
        <v>Yes</v>
      </c>
    </row>
    <row r="71" spans="1:7" x14ac:dyDescent="0.35">
      <c r="A71" s="2" t="s">
        <v>498</v>
      </c>
      <c r="B71" s="2" t="s">
        <v>29</v>
      </c>
      <c r="C71" s="3">
        <v>43728</v>
      </c>
      <c r="D71">
        <v>82</v>
      </c>
      <c r="E71" s="2" t="s">
        <v>20</v>
      </c>
      <c r="F71" s="2">
        <v>93.58</v>
      </c>
      <c r="G71" s="2" t="str">
        <f>IF(F71&gt;D71,"Yes","No")</f>
        <v>Yes</v>
      </c>
    </row>
    <row r="72" spans="1:7" x14ac:dyDescent="0.35">
      <c r="A72" s="2" t="s">
        <v>847</v>
      </c>
      <c r="B72" s="2" t="s">
        <v>6</v>
      </c>
      <c r="C72" s="3">
        <v>44112</v>
      </c>
      <c r="D72">
        <v>100</v>
      </c>
      <c r="E72" s="2" t="s">
        <v>88</v>
      </c>
      <c r="F72" s="2">
        <v>93.58</v>
      </c>
      <c r="G72" s="2" t="str">
        <f>IF(F72&gt;D72,"Yes","No")</f>
        <v>No</v>
      </c>
    </row>
    <row r="73" spans="1:7" x14ac:dyDescent="0.35">
      <c r="A73" s="2" t="s">
        <v>849</v>
      </c>
      <c r="B73" s="2" t="s">
        <v>6</v>
      </c>
      <c r="C73" s="3">
        <v>44256</v>
      </c>
      <c r="D73">
        <v>97</v>
      </c>
      <c r="E73" s="2" t="s">
        <v>20</v>
      </c>
      <c r="F73" s="2">
        <v>93.58</v>
      </c>
      <c r="G73" s="2" t="str">
        <f>IF(F73&gt;D73,"Yes","No")</f>
        <v>No</v>
      </c>
    </row>
    <row r="74" spans="1:7" x14ac:dyDescent="0.35">
      <c r="A74" s="2" t="s">
        <v>765</v>
      </c>
      <c r="B74" s="2" t="s">
        <v>6</v>
      </c>
      <c r="C74" s="3">
        <v>43789</v>
      </c>
      <c r="D74">
        <v>86</v>
      </c>
      <c r="E74" s="2" t="s">
        <v>20</v>
      </c>
      <c r="F74" s="2">
        <v>93.58</v>
      </c>
      <c r="G74" s="2" t="str">
        <f>IF(F74&gt;D74,"Yes","No")</f>
        <v>Yes</v>
      </c>
    </row>
    <row r="75" spans="1:7" x14ac:dyDescent="0.35">
      <c r="A75" s="2" t="s">
        <v>736</v>
      </c>
      <c r="B75" s="2" t="s">
        <v>375</v>
      </c>
      <c r="C75" s="3">
        <v>43455</v>
      </c>
      <c r="D75">
        <v>124</v>
      </c>
      <c r="E75" s="2" t="s">
        <v>20</v>
      </c>
      <c r="F75" s="2">
        <v>93.58</v>
      </c>
      <c r="G75" s="2" t="str">
        <f>IF(F75&gt;D75,"Yes","No")</f>
        <v>No</v>
      </c>
    </row>
    <row r="76" spans="1:7" x14ac:dyDescent="0.35">
      <c r="A76" s="2" t="s">
        <v>635</v>
      </c>
      <c r="B76" s="2" t="s">
        <v>6</v>
      </c>
      <c r="C76" s="3">
        <v>43733</v>
      </c>
      <c r="D76">
        <v>37</v>
      </c>
      <c r="E76" s="2" t="s">
        <v>93</v>
      </c>
      <c r="F76" s="2">
        <v>93.58</v>
      </c>
      <c r="G76" s="2" t="str">
        <f>IF(F76&gt;D76,"Yes","No")</f>
        <v>Yes</v>
      </c>
    </row>
    <row r="77" spans="1:7" x14ac:dyDescent="0.35">
      <c r="A77" s="2" t="s">
        <v>1042</v>
      </c>
      <c r="B77" s="2" t="s">
        <v>6</v>
      </c>
      <c r="C77" s="3">
        <v>44118</v>
      </c>
      <c r="D77">
        <v>79</v>
      </c>
      <c r="E77" s="2" t="s">
        <v>45</v>
      </c>
      <c r="F77" s="2">
        <v>93.58</v>
      </c>
      <c r="G77" s="2" t="str">
        <f>IF(F77&gt;D77,"Yes","No")</f>
        <v>Yes</v>
      </c>
    </row>
    <row r="78" spans="1:7" x14ac:dyDescent="0.35">
      <c r="A78" s="2" t="s">
        <v>767</v>
      </c>
      <c r="B78" s="2" t="s">
        <v>688</v>
      </c>
      <c r="C78" s="3">
        <v>42875</v>
      </c>
      <c r="D78">
        <v>106</v>
      </c>
      <c r="E78" s="2" t="s">
        <v>293</v>
      </c>
      <c r="F78" s="2">
        <v>93.58</v>
      </c>
      <c r="G78" s="2" t="str">
        <f>IF(F78&gt;D78,"Yes","No")</f>
        <v>No</v>
      </c>
    </row>
    <row r="79" spans="1:7" x14ac:dyDescent="0.35">
      <c r="A79" s="2" t="s">
        <v>769</v>
      </c>
      <c r="B79" s="2" t="s">
        <v>43</v>
      </c>
      <c r="C79" s="3">
        <v>44343</v>
      </c>
      <c r="D79">
        <v>95</v>
      </c>
      <c r="E79" s="2" t="s">
        <v>20</v>
      </c>
      <c r="F79" s="2">
        <v>93.58</v>
      </c>
      <c r="G79" s="2" t="str">
        <f>IF(F79&gt;D79,"Yes","No")</f>
        <v>No</v>
      </c>
    </row>
    <row r="80" spans="1:7" x14ac:dyDescent="0.35">
      <c r="A80" s="2" t="s">
        <v>309</v>
      </c>
      <c r="B80" s="2" t="s">
        <v>303</v>
      </c>
      <c r="C80" s="3">
        <v>43020</v>
      </c>
      <c r="D80">
        <v>89</v>
      </c>
      <c r="E80" s="2" t="s">
        <v>311</v>
      </c>
      <c r="F80" s="2">
        <v>93.58</v>
      </c>
      <c r="G80" s="2" t="str">
        <f>IF(F80&gt;D80,"Yes","No")</f>
        <v>Yes</v>
      </c>
    </row>
    <row r="81" spans="1:7" x14ac:dyDescent="0.35">
      <c r="A81" s="2" t="s">
        <v>312</v>
      </c>
      <c r="B81" s="2" t="s">
        <v>29</v>
      </c>
      <c r="C81" s="3">
        <v>42558</v>
      </c>
      <c r="D81">
        <v>95</v>
      </c>
      <c r="E81" s="2" t="s">
        <v>20</v>
      </c>
      <c r="F81" s="2">
        <v>93.58</v>
      </c>
      <c r="G81" s="2" t="str">
        <f>IF(F81&gt;D81,"Yes","No")</f>
        <v>No</v>
      </c>
    </row>
    <row r="82" spans="1:7" x14ac:dyDescent="0.35">
      <c r="A82" s="2" t="s">
        <v>1079</v>
      </c>
      <c r="B82" s="2" t="s">
        <v>6</v>
      </c>
      <c r="C82" s="3">
        <v>43574</v>
      </c>
      <c r="D82">
        <v>76</v>
      </c>
      <c r="E82" s="2" t="s">
        <v>20</v>
      </c>
      <c r="F82" s="2">
        <v>93.58</v>
      </c>
      <c r="G82" s="2" t="str">
        <f>IF(F82&gt;D82,"Yes","No")</f>
        <v>Yes</v>
      </c>
    </row>
    <row r="83" spans="1:7" x14ac:dyDescent="0.35">
      <c r="A83" s="2" t="s">
        <v>579</v>
      </c>
      <c r="B83" s="2" t="s">
        <v>580</v>
      </c>
      <c r="C83" s="3">
        <v>43091</v>
      </c>
      <c r="D83">
        <v>117</v>
      </c>
      <c r="E83" s="2" t="s">
        <v>20</v>
      </c>
      <c r="F83" s="2">
        <v>93.58</v>
      </c>
      <c r="G83" s="2" t="str">
        <f>IF(F83&gt;D83,"Yes","No")</f>
        <v>No</v>
      </c>
    </row>
    <row r="84" spans="1:7" x14ac:dyDescent="0.35">
      <c r="A84" s="2" t="s">
        <v>737</v>
      </c>
      <c r="B84" s="2" t="s">
        <v>95</v>
      </c>
      <c r="C84" s="3">
        <v>44006</v>
      </c>
      <c r="D84">
        <v>94</v>
      </c>
      <c r="E84" s="2" t="s">
        <v>24</v>
      </c>
      <c r="F84" s="2">
        <v>93.58</v>
      </c>
      <c r="G84" s="2" t="str">
        <f>IF(F84&gt;D84,"Yes","No")</f>
        <v>No</v>
      </c>
    </row>
    <row r="85" spans="1:7" x14ac:dyDescent="0.35">
      <c r="A85" s="2" t="s">
        <v>500</v>
      </c>
      <c r="B85" s="2" t="s">
        <v>43</v>
      </c>
      <c r="C85" s="3">
        <v>42804</v>
      </c>
      <c r="D85">
        <v>102</v>
      </c>
      <c r="E85" s="2" t="s">
        <v>20</v>
      </c>
      <c r="F85" s="2">
        <v>93.58</v>
      </c>
      <c r="G85" s="2" t="str">
        <f>IF(F85&gt;D85,"Yes","No")</f>
        <v>No</v>
      </c>
    </row>
    <row r="86" spans="1:7" x14ac:dyDescent="0.35">
      <c r="A86" s="2" t="s">
        <v>161</v>
      </c>
      <c r="B86" s="2" t="s">
        <v>95</v>
      </c>
      <c r="C86" s="3">
        <v>44126</v>
      </c>
      <c r="D86">
        <v>86</v>
      </c>
      <c r="E86" s="2" t="s">
        <v>163</v>
      </c>
      <c r="F86" s="2">
        <v>93.58</v>
      </c>
      <c r="G86" s="2" t="str">
        <f>IF(F86&gt;D86,"Yes","No")</f>
        <v>Yes</v>
      </c>
    </row>
    <row r="87" spans="1:7" x14ac:dyDescent="0.35">
      <c r="A87" s="2" t="s">
        <v>819</v>
      </c>
      <c r="B87" s="2" t="s">
        <v>10</v>
      </c>
      <c r="C87" s="3">
        <v>43280</v>
      </c>
      <c r="D87">
        <v>101</v>
      </c>
      <c r="E87" s="2" t="s">
        <v>20</v>
      </c>
      <c r="F87" s="2">
        <v>93.58</v>
      </c>
      <c r="G87" s="2" t="str">
        <f>IF(F87&gt;D87,"Yes","No")</f>
        <v>No</v>
      </c>
    </row>
    <row r="88" spans="1:7" x14ac:dyDescent="0.35">
      <c r="A88" s="2" t="s">
        <v>446</v>
      </c>
      <c r="B88" s="2" t="s">
        <v>447</v>
      </c>
      <c r="C88" s="3">
        <v>43420</v>
      </c>
      <c r="D88">
        <v>94</v>
      </c>
      <c r="E88" s="2" t="s">
        <v>20</v>
      </c>
      <c r="F88" s="2">
        <v>93.58</v>
      </c>
      <c r="G88" s="2" t="str">
        <f>IF(F88&gt;D88,"Yes","No")</f>
        <v>No</v>
      </c>
    </row>
    <row r="89" spans="1:7" x14ac:dyDescent="0.35">
      <c r="A89" s="2" t="s">
        <v>393</v>
      </c>
      <c r="B89" s="2" t="s">
        <v>29</v>
      </c>
      <c r="C89" s="3">
        <v>43217</v>
      </c>
      <c r="D89">
        <v>92</v>
      </c>
      <c r="E89" s="2" t="s">
        <v>20</v>
      </c>
      <c r="F89" s="2">
        <v>93.58</v>
      </c>
      <c r="G89" s="2" t="str">
        <f>IF(F89&gt;D89,"Yes","No")</f>
        <v>Yes</v>
      </c>
    </row>
    <row r="90" spans="1:7" x14ac:dyDescent="0.35">
      <c r="A90" s="2" t="s">
        <v>692</v>
      </c>
      <c r="B90" s="2" t="s">
        <v>693</v>
      </c>
      <c r="C90" s="3">
        <v>44176</v>
      </c>
      <c r="D90">
        <v>9</v>
      </c>
      <c r="E90" s="2" t="s">
        <v>20</v>
      </c>
      <c r="F90" s="2">
        <v>93.58</v>
      </c>
      <c r="G90" s="2" t="str">
        <f>IF(F90&gt;D90,"Yes","No")</f>
        <v>Yes</v>
      </c>
    </row>
    <row r="91" spans="1:7" x14ac:dyDescent="0.35">
      <c r="A91" s="2" t="s">
        <v>582</v>
      </c>
      <c r="B91" s="2" t="s">
        <v>583</v>
      </c>
      <c r="C91" s="3">
        <v>43238</v>
      </c>
      <c r="D91">
        <v>104</v>
      </c>
      <c r="E91" s="2" t="s">
        <v>20</v>
      </c>
      <c r="F91" s="2">
        <v>93.58</v>
      </c>
      <c r="G91" s="2" t="str">
        <f>IF(F91&gt;D91,"Yes","No")</f>
        <v>No</v>
      </c>
    </row>
    <row r="92" spans="1:7" x14ac:dyDescent="0.35">
      <c r="A92" s="2" t="s">
        <v>502</v>
      </c>
      <c r="B92" s="2" t="s">
        <v>6</v>
      </c>
      <c r="C92" s="3">
        <v>42853</v>
      </c>
      <c r="D92">
        <v>80</v>
      </c>
      <c r="E92" s="2" t="s">
        <v>20</v>
      </c>
      <c r="F92" s="2">
        <v>93.58</v>
      </c>
      <c r="G92" s="2" t="str">
        <f>IF(F92&gt;D92,"Yes","No")</f>
        <v>Yes</v>
      </c>
    </row>
    <row r="93" spans="1:7" x14ac:dyDescent="0.35">
      <c r="A93" s="2" t="s">
        <v>341</v>
      </c>
      <c r="B93" s="2" t="s">
        <v>342</v>
      </c>
      <c r="C93" s="3">
        <v>44280</v>
      </c>
      <c r="D93">
        <v>99</v>
      </c>
      <c r="E93" s="2" t="s">
        <v>16</v>
      </c>
      <c r="F93" s="2">
        <v>93.58</v>
      </c>
      <c r="G93" s="2" t="str">
        <f>IF(F93&gt;D93,"Yes","No")</f>
        <v>No</v>
      </c>
    </row>
    <row r="94" spans="1:7" x14ac:dyDescent="0.35">
      <c r="A94" s="2" t="s">
        <v>694</v>
      </c>
      <c r="B94" s="2" t="s">
        <v>6</v>
      </c>
      <c r="C94" s="3">
        <v>44303</v>
      </c>
      <c r="D94">
        <v>21</v>
      </c>
      <c r="E94" s="2" t="s">
        <v>20</v>
      </c>
      <c r="F94" s="2">
        <v>93.58</v>
      </c>
      <c r="G94" s="2" t="str">
        <f>IF(F94&gt;D94,"Yes","No")</f>
        <v>Yes</v>
      </c>
    </row>
    <row r="95" spans="1:7" x14ac:dyDescent="0.35">
      <c r="A95" s="2" t="s">
        <v>1100</v>
      </c>
      <c r="B95" s="2" t="s">
        <v>6</v>
      </c>
      <c r="C95" s="3">
        <v>42930</v>
      </c>
      <c r="D95">
        <v>89</v>
      </c>
      <c r="E95" s="2" t="s">
        <v>20</v>
      </c>
      <c r="F95" s="2">
        <v>93.58</v>
      </c>
      <c r="G95" s="2" t="str">
        <f>IF(F95&gt;D95,"Yes","No")</f>
        <v>Yes</v>
      </c>
    </row>
    <row r="96" spans="1:7" x14ac:dyDescent="0.35">
      <c r="A96" s="2" t="s">
        <v>394</v>
      </c>
      <c r="B96" s="2" t="s">
        <v>43</v>
      </c>
      <c r="C96" s="3">
        <v>43987</v>
      </c>
      <c r="D96">
        <v>114</v>
      </c>
      <c r="E96" s="2" t="s">
        <v>24</v>
      </c>
      <c r="F96" s="2">
        <v>93.58</v>
      </c>
      <c r="G96" s="2" t="str">
        <f>IF(F96&gt;D96,"Yes","No")</f>
        <v>No</v>
      </c>
    </row>
    <row r="97" spans="1:7" x14ac:dyDescent="0.35">
      <c r="A97" s="2" t="s">
        <v>696</v>
      </c>
      <c r="B97" s="2" t="s">
        <v>29</v>
      </c>
      <c r="C97" s="3">
        <v>43616</v>
      </c>
      <c r="D97">
        <v>100</v>
      </c>
      <c r="E97" s="2" t="s">
        <v>24</v>
      </c>
      <c r="F97" s="2">
        <v>93.58</v>
      </c>
      <c r="G97" s="2" t="str">
        <f>IF(F97&gt;D97,"Yes","No")</f>
        <v>No</v>
      </c>
    </row>
    <row r="98" spans="1:7" x14ac:dyDescent="0.35">
      <c r="A98" s="2" t="s">
        <v>124</v>
      </c>
      <c r="B98" s="2" t="s">
        <v>10</v>
      </c>
      <c r="C98" s="3">
        <v>44169</v>
      </c>
      <c r="D98">
        <v>106</v>
      </c>
      <c r="E98" s="2" t="s">
        <v>125</v>
      </c>
      <c r="F98" s="2">
        <v>93.58</v>
      </c>
      <c r="G98" s="2" t="str">
        <f>IF(F98&gt;D98,"Yes","No")</f>
        <v>No</v>
      </c>
    </row>
    <row r="99" spans="1:7" x14ac:dyDescent="0.35">
      <c r="A99" s="2" t="s">
        <v>344</v>
      </c>
      <c r="B99" s="2" t="s">
        <v>172</v>
      </c>
      <c r="C99" s="3">
        <v>43084</v>
      </c>
      <c r="D99">
        <v>104</v>
      </c>
      <c r="E99" s="2" t="s">
        <v>20</v>
      </c>
      <c r="F99" s="2">
        <v>93.58</v>
      </c>
      <c r="G99" s="2" t="str">
        <f>IF(F99&gt;D99,"Yes","No")</f>
        <v>No</v>
      </c>
    </row>
    <row r="100" spans="1:7" x14ac:dyDescent="0.35">
      <c r="A100" s="2" t="s">
        <v>912</v>
      </c>
      <c r="B100" s="2" t="s">
        <v>6</v>
      </c>
      <c r="C100" s="3">
        <v>43943</v>
      </c>
      <c r="D100">
        <v>92</v>
      </c>
      <c r="E100" s="2" t="s">
        <v>20</v>
      </c>
      <c r="F100" s="2">
        <v>93.58</v>
      </c>
      <c r="G100" s="2" t="str">
        <f>IF(F100&gt;D100,"Yes","No")</f>
        <v>Yes</v>
      </c>
    </row>
    <row r="101" spans="1:7" x14ac:dyDescent="0.35">
      <c r="A101" s="2" t="s">
        <v>547</v>
      </c>
      <c r="B101" s="2" t="s">
        <v>43</v>
      </c>
      <c r="C101" s="3">
        <v>44141</v>
      </c>
      <c r="D101">
        <v>151</v>
      </c>
      <c r="E101" s="2" t="s">
        <v>20</v>
      </c>
      <c r="F101" s="2">
        <v>93.58</v>
      </c>
      <c r="G101" s="2" t="str">
        <f>IF(F101&gt;D101,"Yes","No")</f>
        <v>No</v>
      </c>
    </row>
    <row r="102" spans="1:7" x14ac:dyDescent="0.35">
      <c r="A102" s="2" t="s">
        <v>1044</v>
      </c>
      <c r="B102" s="2" t="s">
        <v>6</v>
      </c>
      <c r="C102" s="3">
        <v>43350</v>
      </c>
      <c r="D102">
        <v>74</v>
      </c>
      <c r="E102" s="2" t="s">
        <v>20</v>
      </c>
      <c r="F102" s="2">
        <v>93.58</v>
      </c>
      <c r="G102" s="2" t="str">
        <f>IF(F102&gt;D102,"Yes","No")</f>
        <v>Yes</v>
      </c>
    </row>
    <row r="103" spans="1:7" x14ac:dyDescent="0.35">
      <c r="A103" s="2" t="s">
        <v>395</v>
      </c>
      <c r="B103" s="2" t="s">
        <v>43</v>
      </c>
      <c r="C103" s="3">
        <v>44064</v>
      </c>
      <c r="D103">
        <v>98</v>
      </c>
      <c r="E103" s="2" t="s">
        <v>24</v>
      </c>
      <c r="F103" s="2">
        <v>93.58</v>
      </c>
      <c r="G103" s="2" t="str">
        <f>IF(F103&gt;D103,"Yes","No")</f>
        <v>No</v>
      </c>
    </row>
    <row r="104" spans="1:7" x14ac:dyDescent="0.35">
      <c r="A104" s="2" t="s">
        <v>164</v>
      </c>
      <c r="B104" s="2" t="s">
        <v>10</v>
      </c>
      <c r="C104" s="3">
        <v>42748</v>
      </c>
      <c r="D104">
        <v>104</v>
      </c>
      <c r="E104" s="2" t="s">
        <v>20</v>
      </c>
      <c r="F104" s="2">
        <v>93.58</v>
      </c>
      <c r="G104" s="2" t="str">
        <f>IF(F104&gt;D104,"Yes","No")</f>
        <v>No</v>
      </c>
    </row>
    <row r="105" spans="1:7" x14ac:dyDescent="0.35">
      <c r="A105" s="2" t="s">
        <v>166</v>
      </c>
      <c r="B105" s="2" t="s">
        <v>51</v>
      </c>
      <c r="C105" s="3">
        <v>43924</v>
      </c>
      <c r="D105">
        <v>88</v>
      </c>
      <c r="E105" s="2" t="s">
        <v>20</v>
      </c>
      <c r="F105" s="2">
        <v>93.58</v>
      </c>
      <c r="G105" s="2" t="str">
        <f>IF(F105&gt;D105,"Yes","No")</f>
        <v>Yes</v>
      </c>
    </row>
    <row r="106" spans="1:7" x14ac:dyDescent="0.35">
      <c r="A106" s="2" t="s">
        <v>126</v>
      </c>
      <c r="B106" s="2" t="s">
        <v>127</v>
      </c>
      <c r="C106" s="3">
        <v>42741</v>
      </c>
      <c r="D106">
        <v>97</v>
      </c>
      <c r="E106" s="2" t="s">
        <v>20</v>
      </c>
      <c r="F106" s="2">
        <v>93.58</v>
      </c>
      <c r="G106" s="2" t="str">
        <f>IF(F106&gt;D106,"Yes","No")</f>
        <v>No</v>
      </c>
    </row>
    <row r="107" spans="1:7" x14ac:dyDescent="0.35">
      <c r="A107" s="2" t="s">
        <v>468</v>
      </c>
      <c r="B107" s="2" t="s">
        <v>391</v>
      </c>
      <c r="C107" s="3">
        <v>43203</v>
      </c>
      <c r="D107">
        <v>106</v>
      </c>
      <c r="E107" s="2" t="s">
        <v>20</v>
      </c>
      <c r="F107" s="2">
        <v>93.58</v>
      </c>
      <c r="G107" s="2" t="str">
        <f>IF(F107&gt;D107,"Yes","No")</f>
        <v>No</v>
      </c>
    </row>
    <row r="108" spans="1:7" x14ac:dyDescent="0.35">
      <c r="A108" s="2" t="s">
        <v>1133</v>
      </c>
      <c r="B108" s="2" t="s">
        <v>638</v>
      </c>
      <c r="C108" s="3">
        <v>43823</v>
      </c>
      <c r="D108">
        <v>112</v>
      </c>
      <c r="E108" s="2" t="s">
        <v>12</v>
      </c>
      <c r="F108" s="2">
        <v>93.58</v>
      </c>
      <c r="G108" s="2" t="str">
        <f>IF(F108&gt;D108,"Yes","No")</f>
        <v>No</v>
      </c>
    </row>
    <row r="109" spans="1:7" x14ac:dyDescent="0.35">
      <c r="A109" s="2" t="s">
        <v>585</v>
      </c>
      <c r="B109" s="2" t="s">
        <v>43</v>
      </c>
      <c r="C109" s="3">
        <v>44288</v>
      </c>
      <c r="D109">
        <v>111</v>
      </c>
      <c r="E109" s="2" t="s">
        <v>20</v>
      </c>
      <c r="F109" s="2">
        <v>93.58</v>
      </c>
      <c r="G109" s="2" t="str">
        <f>IF(F109&gt;D109,"Yes","No")</f>
        <v>No</v>
      </c>
    </row>
    <row r="110" spans="1:7" x14ac:dyDescent="0.35">
      <c r="A110" s="2" t="s">
        <v>851</v>
      </c>
      <c r="B110" s="2" t="s">
        <v>693</v>
      </c>
      <c r="C110" s="3">
        <v>44193</v>
      </c>
      <c r="D110">
        <v>7</v>
      </c>
      <c r="E110" s="2" t="s">
        <v>20</v>
      </c>
      <c r="F110" s="2">
        <v>93.58</v>
      </c>
      <c r="G110" s="2" t="str">
        <f>IF(F110&gt;D110,"Yes","No")</f>
        <v>Yes</v>
      </c>
    </row>
    <row r="111" spans="1:7" x14ac:dyDescent="0.35">
      <c r="A111" s="2" t="s">
        <v>771</v>
      </c>
      <c r="B111" s="2" t="s">
        <v>6</v>
      </c>
      <c r="C111" s="3">
        <v>42902</v>
      </c>
      <c r="D111">
        <v>91</v>
      </c>
      <c r="E111" s="2" t="s">
        <v>20</v>
      </c>
      <c r="F111" s="2">
        <v>93.58</v>
      </c>
      <c r="G111" s="2" t="str">
        <f>IF(F111&gt;D111,"Yes","No")</f>
        <v>Yes</v>
      </c>
    </row>
    <row r="112" spans="1:7" x14ac:dyDescent="0.35">
      <c r="A112" s="2" t="s">
        <v>773</v>
      </c>
      <c r="B112" s="2" t="s">
        <v>6</v>
      </c>
      <c r="C112" s="3">
        <v>44207</v>
      </c>
      <c r="D112">
        <v>89</v>
      </c>
      <c r="E112" s="2" t="s">
        <v>20</v>
      </c>
      <c r="F112" s="2">
        <v>93.58</v>
      </c>
      <c r="G112" s="2" t="str">
        <f>IF(F112&gt;D112,"Yes","No")</f>
        <v>Yes</v>
      </c>
    </row>
    <row r="113" spans="1:7" x14ac:dyDescent="0.35">
      <c r="A113" s="2" t="s">
        <v>738</v>
      </c>
      <c r="B113" s="2" t="s">
        <v>47</v>
      </c>
      <c r="C113" s="3">
        <v>44253</v>
      </c>
      <c r="D113">
        <v>102</v>
      </c>
      <c r="E113" s="2" t="s">
        <v>12</v>
      </c>
      <c r="F113" s="2">
        <v>93.58</v>
      </c>
      <c r="G113" s="2" t="str">
        <f>IF(F113&gt;D113,"Yes","No")</f>
        <v>No</v>
      </c>
    </row>
    <row r="114" spans="1:7" x14ac:dyDescent="0.35">
      <c r="A114" s="2" t="s">
        <v>549</v>
      </c>
      <c r="B114" s="2" t="s">
        <v>215</v>
      </c>
      <c r="C114" s="3">
        <v>44060</v>
      </c>
      <c r="D114">
        <v>101</v>
      </c>
      <c r="E114" s="2" t="s">
        <v>49</v>
      </c>
      <c r="F114" s="2">
        <v>93.58</v>
      </c>
      <c r="G114" s="2" t="str">
        <f>IF(F114&gt;D114,"Yes","No")</f>
        <v>No</v>
      </c>
    </row>
    <row r="115" spans="1:7" x14ac:dyDescent="0.35">
      <c r="A115" s="2" t="s">
        <v>1080</v>
      </c>
      <c r="B115" s="2" t="s">
        <v>6</v>
      </c>
      <c r="C115" s="3">
        <v>43915</v>
      </c>
      <c r="D115">
        <v>108</v>
      </c>
      <c r="E115" s="2" t="s">
        <v>20</v>
      </c>
      <c r="F115" s="2">
        <v>93.58</v>
      </c>
      <c r="G115" s="2" t="str">
        <f>IF(F115&gt;D115,"Yes","No")</f>
        <v>No</v>
      </c>
    </row>
    <row r="116" spans="1:7" x14ac:dyDescent="0.35">
      <c r="A116" s="2" t="s">
        <v>1112</v>
      </c>
      <c r="B116" s="2" t="s">
        <v>6</v>
      </c>
      <c r="C116" s="3">
        <v>43063</v>
      </c>
      <c r="D116">
        <v>114</v>
      </c>
      <c r="E116" s="2" t="s">
        <v>20</v>
      </c>
      <c r="F116" s="2">
        <v>93.58</v>
      </c>
      <c r="G116" s="2" t="str">
        <f>IF(F116&gt;D116,"Yes","No")</f>
        <v>No</v>
      </c>
    </row>
    <row r="117" spans="1:7" x14ac:dyDescent="0.35">
      <c r="A117" s="2" t="s">
        <v>698</v>
      </c>
      <c r="B117" s="2" t="s">
        <v>699</v>
      </c>
      <c r="C117" s="3">
        <v>43994</v>
      </c>
      <c r="D117">
        <v>155</v>
      </c>
      <c r="E117" s="2" t="s">
        <v>20</v>
      </c>
      <c r="F117" s="2">
        <v>93.58</v>
      </c>
      <c r="G117" s="2" t="str">
        <f>IF(F117&gt;D117,"Yes","No")</f>
        <v>No</v>
      </c>
    </row>
    <row r="118" spans="1:7" x14ac:dyDescent="0.35">
      <c r="A118" s="2" t="s">
        <v>346</v>
      </c>
      <c r="B118" s="2" t="s">
        <v>347</v>
      </c>
      <c r="C118" s="3">
        <v>44085</v>
      </c>
      <c r="D118">
        <v>102</v>
      </c>
      <c r="E118" s="2" t="s">
        <v>12</v>
      </c>
      <c r="F118" s="2">
        <v>93.58</v>
      </c>
      <c r="G118" s="2" t="str">
        <f>IF(F118&gt;D118,"Yes","No")</f>
        <v>No</v>
      </c>
    </row>
    <row r="119" spans="1:7" x14ac:dyDescent="0.35">
      <c r="A119" s="2" t="s">
        <v>913</v>
      </c>
      <c r="B119" s="2" t="s">
        <v>6</v>
      </c>
      <c r="C119" s="3">
        <v>44162</v>
      </c>
      <c r="D119">
        <v>80</v>
      </c>
      <c r="E119" s="2" t="s">
        <v>20</v>
      </c>
      <c r="F119" s="2">
        <v>93.58</v>
      </c>
      <c r="G119" s="2" t="str">
        <f>IF(F119&gt;D119,"Yes","No")</f>
        <v>Yes</v>
      </c>
    </row>
    <row r="120" spans="1:7" x14ac:dyDescent="0.35">
      <c r="A120" s="2" t="s">
        <v>1114</v>
      </c>
      <c r="B120" s="2" t="s">
        <v>6</v>
      </c>
      <c r="C120" s="3">
        <v>43761</v>
      </c>
      <c r="D120">
        <v>51</v>
      </c>
      <c r="E120" s="2" t="s">
        <v>20</v>
      </c>
      <c r="F120" s="2">
        <v>93.58</v>
      </c>
      <c r="G120" s="2" t="str">
        <f>IF(F120&gt;D120,"Yes","No")</f>
        <v>Yes</v>
      </c>
    </row>
    <row r="121" spans="1:7" x14ac:dyDescent="0.35">
      <c r="A121" s="2" t="s">
        <v>223</v>
      </c>
      <c r="B121" s="2" t="s">
        <v>10</v>
      </c>
      <c r="C121" s="3">
        <v>43951</v>
      </c>
      <c r="D121">
        <v>97</v>
      </c>
      <c r="E121" s="2" t="s">
        <v>20</v>
      </c>
      <c r="F121" s="2">
        <v>93.58</v>
      </c>
      <c r="G121" s="2" t="str">
        <f>IF(F121&gt;D121,"Yes","No")</f>
        <v>No</v>
      </c>
    </row>
    <row r="122" spans="1:7" x14ac:dyDescent="0.35">
      <c r="A122" s="2" t="s">
        <v>9</v>
      </c>
      <c r="B122" s="2" t="s">
        <v>10</v>
      </c>
      <c r="C122" s="3">
        <v>44064</v>
      </c>
      <c r="D122">
        <v>81</v>
      </c>
      <c r="E122" s="2" t="s">
        <v>12</v>
      </c>
      <c r="F122" s="2">
        <v>93.58</v>
      </c>
      <c r="G122" s="2" t="str">
        <f>IF(F122&gt;D122,"Yes","No")</f>
        <v>Yes</v>
      </c>
    </row>
    <row r="123" spans="1:7" x14ac:dyDescent="0.35">
      <c r="A123" s="2" t="s">
        <v>1127</v>
      </c>
      <c r="B123" s="2" t="s">
        <v>6</v>
      </c>
      <c r="C123" s="3">
        <v>44108</v>
      </c>
      <c r="D123">
        <v>83</v>
      </c>
      <c r="E123" s="2" t="s">
        <v>20</v>
      </c>
      <c r="F123" s="2">
        <v>93.58</v>
      </c>
      <c r="G123" s="2" t="str">
        <f>IF(F123&gt;D123,"Yes","No")</f>
        <v>Yes</v>
      </c>
    </row>
    <row r="124" spans="1:7" x14ac:dyDescent="0.35">
      <c r="A124" s="2" t="s">
        <v>272</v>
      </c>
      <c r="B124" s="2" t="s">
        <v>10</v>
      </c>
      <c r="C124" s="3">
        <v>43800</v>
      </c>
      <c r="D124">
        <v>94</v>
      </c>
      <c r="E124" s="2" t="s">
        <v>111</v>
      </c>
      <c r="F124" s="2">
        <v>93.58</v>
      </c>
      <c r="G124" s="2" t="str">
        <f>IF(F124&gt;D124,"Yes","No")</f>
        <v>No</v>
      </c>
    </row>
    <row r="125" spans="1:7" x14ac:dyDescent="0.35">
      <c r="A125" s="2" t="s">
        <v>66</v>
      </c>
      <c r="B125" s="2" t="s">
        <v>18</v>
      </c>
      <c r="C125" s="3">
        <v>42972</v>
      </c>
      <c r="D125">
        <v>100</v>
      </c>
      <c r="E125" s="2" t="s">
        <v>20</v>
      </c>
      <c r="F125" s="2">
        <v>93.58</v>
      </c>
      <c r="G125" s="2" t="str">
        <f>IF(F125&gt;D125,"Yes","No")</f>
        <v>No</v>
      </c>
    </row>
    <row r="126" spans="1:7" x14ac:dyDescent="0.35">
      <c r="A126" s="2" t="s">
        <v>820</v>
      </c>
      <c r="B126" s="2" t="s">
        <v>29</v>
      </c>
      <c r="C126" s="3">
        <v>44192</v>
      </c>
      <c r="D126">
        <v>70</v>
      </c>
      <c r="E126" s="2" t="s">
        <v>20</v>
      </c>
      <c r="F126" s="2">
        <v>93.58</v>
      </c>
      <c r="G126" s="2" t="str">
        <f>IF(F126&gt;D126,"Yes","No")</f>
        <v>Yes</v>
      </c>
    </row>
    <row r="127" spans="1:7" x14ac:dyDescent="0.35">
      <c r="A127" s="2" t="s">
        <v>503</v>
      </c>
      <c r="B127" s="2" t="s">
        <v>43</v>
      </c>
      <c r="C127" s="3">
        <v>42811</v>
      </c>
      <c r="D127">
        <v>94</v>
      </c>
      <c r="E127" s="2" t="s">
        <v>20</v>
      </c>
      <c r="F127" s="2">
        <v>93.58</v>
      </c>
      <c r="G127" s="2" t="str">
        <f>IF(F127&gt;D127,"Yes","No")</f>
        <v>No</v>
      </c>
    </row>
    <row r="128" spans="1:7" x14ac:dyDescent="0.35">
      <c r="A128" s="2" t="s">
        <v>914</v>
      </c>
      <c r="B128" s="2" t="s">
        <v>915</v>
      </c>
      <c r="C128" s="3">
        <v>43392</v>
      </c>
      <c r="D128">
        <v>49</v>
      </c>
      <c r="E128" s="2" t="s">
        <v>20</v>
      </c>
      <c r="F128" s="2">
        <v>93.58</v>
      </c>
      <c r="G128" s="2" t="str">
        <f>IF(F128&gt;D128,"Yes","No")</f>
        <v>Yes</v>
      </c>
    </row>
    <row r="129" spans="1:7" x14ac:dyDescent="0.35">
      <c r="A129" s="2" t="s">
        <v>182</v>
      </c>
      <c r="B129" s="2" t="s">
        <v>47</v>
      </c>
      <c r="C129" s="3">
        <v>44015</v>
      </c>
      <c r="D129">
        <v>106</v>
      </c>
      <c r="E129" s="2" t="s">
        <v>20</v>
      </c>
      <c r="F129" s="2">
        <v>93.58</v>
      </c>
      <c r="G129" s="2" t="str">
        <f>IF(F129&gt;D129,"Yes","No")</f>
        <v>No</v>
      </c>
    </row>
    <row r="130" spans="1:7" x14ac:dyDescent="0.35">
      <c r="A130" s="2" t="s">
        <v>243</v>
      </c>
      <c r="B130" s="2" t="s">
        <v>29</v>
      </c>
      <c r="C130" s="3">
        <v>43588</v>
      </c>
      <c r="D130">
        <v>78</v>
      </c>
      <c r="E130" s="2" t="s">
        <v>12</v>
      </c>
      <c r="F130" s="2">
        <v>93.58</v>
      </c>
      <c r="G130" s="2" t="str">
        <f>IF(F130&gt;D130,"Yes","No")</f>
        <v>Yes</v>
      </c>
    </row>
    <row r="131" spans="1:7" x14ac:dyDescent="0.35">
      <c r="A131" s="2" t="s">
        <v>1045</v>
      </c>
      <c r="B131" s="2" t="s">
        <v>6</v>
      </c>
      <c r="C131" s="3">
        <v>44106</v>
      </c>
      <c r="D131">
        <v>90</v>
      </c>
      <c r="E131" s="2" t="s">
        <v>20</v>
      </c>
      <c r="F131" s="2">
        <v>93.58</v>
      </c>
      <c r="G131" s="2" t="str">
        <f>IF(F131&gt;D131,"Yes","No")</f>
        <v>Yes</v>
      </c>
    </row>
    <row r="132" spans="1:7" x14ac:dyDescent="0.35">
      <c r="A132" s="2" t="s">
        <v>1106</v>
      </c>
      <c r="B132" s="2" t="s">
        <v>6</v>
      </c>
      <c r="C132" s="3">
        <v>44001</v>
      </c>
      <c r="D132">
        <v>107</v>
      </c>
      <c r="E132" s="2" t="s">
        <v>20</v>
      </c>
      <c r="F132" s="2">
        <v>93.58</v>
      </c>
      <c r="G132" s="2" t="str">
        <f>IF(F132&gt;D132,"Yes","No")</f>
        <v>No</v>
      </c>
    </row>
    <row r="133" spans="1:7" x14ac:dyDescent="0.35">
      <c r="A133" s="2" t="s">
        <v>984</v>
      </c>
      <c r="B133" s="2" t="s">
        <v>391</v>
      </c>
      <c r="C133" s="3">
        <v>43763</v>
      </c>
      <c r="D133">
        <v>118</v>
      </c>
      <c r="E133" s="2" t="s">
        <v>20</v>
      </c>
      <c r="F133" s="2">
        <v>93.58</v>
      </c>
      <c r="G133" s="2" t="str">
        <f>IF(F133&gt;D133,"Yes","No")</f>
        <v>No</v>
      </c>
    </row>
    <row r="134" spans="1:7" x14ac:dyDescent="0.35">
      <c r="A134" s="2" t="s">
        <v>245</v>
      </c>
      <c r="B134" s="2" t="s">
        <v>43</v>
      </c>
      <c r="C134" s="3">
        <v>44092</v>
      </c>
      <c r="D134">
        <v>120</v>
      </c>
      <c r="E134" s="2" t="s">
        <v>24</v>
      </c>
      <c r="F134" s="2">
        <v>93.58</v>
      </c>
      <c r="G134" s="2" t="str">
        <f>IF(F134&gt;D134,"Yes","No")</f>
        <v>No</v>
      </c>
    </row>
    <row r="135" spans="1:7" x14ac:dyDescent="0.35">
      <c r="A135" s="2" t="s">
        <v>701</v>
      </c>
      <c r="B135" s="2" t="s">
        <v>6</v>
      </c>
      <c r="C135" s="3">
        <v>44293</v>
      </c>
      <c r="D135">
        <v>55</v>
      </c>
      <c r="E135" s="2" t="s">
        <v>20</v>
      </c>
      <c r="F135" s="2">
        <v>93.58</v>
      </c>
      <c r="G135" s="2" t="str">
        <f>IF(F135&gt;D135,"Yes","No")</f>
        <v>Yes</v>
      </c>
    </row>
    <row r="136" spans="1:7" x14ac:dyDescent="0.35">
      <c r="A136" s="2" t="s">
        <v>184</v>
      </c>
      <c r="B136" s="2" t="s">
        <v>185</v>
      </c>
      <c r="C136" s="3">
        <v>44157</v>
      </c>
      <c r="D136">
        <v>98</v>
      </c>
      <c r="E136" s="2" t="s">
        <v>20</v>
      </c>
      <c r="F136" s="2">
        <v>93.58</v>
      </c>
      <c r="G136" s="2" t="str">
        <f>IF(F136&gt;D136,"Yes","No")</f>
        <v>No</v>
      </c>
    </row>
    <row r="137" spans="1:7" x14ac:dyDescent="0.35">
      <c r="A137" s="2" t="s">
        <v>314</v>
      </c>
      <c r="B137" s="2" t="s">
        <v>215</v>
      </c>
      <c r="C137" s="3">
        <v>44211</v>
      </c>
      <c r="D137">
        <v>103</v>
      </c>
      <c r="E137" s="2" t="s">
        <v>102</v>
      </c>
      <c r="F137" s="2">
        <v>93.58</v>
      </c>
      <c r="G137" s="2" t="str">
        <f>IF(F137&gt;D137,"Yes","No")</f>
        <v>No</v>
      </c>
    </row>
    <row r="138" spans="1:7" x14ac:dyDescent="0.35">
      <c r="A138" s="2" t="s">
        <v>25</v>
      </c>
      <c r="B138" s="2" t="s">
        <v>26</v>
      </c>
      <c r="C138" s="3">
        <v>43770</v>
      </c>
      <c r="D138">
        <v>147</v>
      </c>
      <c r="E138" s="2" t="s">
        <v>24</v>
      </c>
      <c r="F138" s="2">
        <v>93.58</v>
      </c>
      <c r="G138" s="2" t="str">
        <f>IF(F138&gt;D138,"Yes","No")</f>
        <v>No</v>
      </c>
    </row>
    <row r="139" spans="1:7" x14ac:dyDescent="0.35">
      <c r="A139" s="2" t="s">
        <v>168</v>
      </c>
      <c r="B139" s="2" t="s">
        <v>169</v>
      </c>
      <c r="C139" s="3">
        <v>43210</v>
      </c>
      <c r="D139">
        <v>97</v>
      </c>
      <c r="E139" s="2" t="s">
        <v>20</v>
      </c>
      <c r="F139" s="2">
        <v>93.58</v>
      </c>
      <c r="G139" s="2" t="str">
        <f>IF(F139&gt;D139,"Yes","No")</f>
        <v>No</v>
      </c>
    </row>
    <row r="140" spans="1:7" x14ac:dyDescent="0.35">
      <c r="A140" s="2" t="s">
        <v>141</v>
      </c>
      <c r="B140" s="2" t="s">
        <v>26</v>
      </c>
      <c r="C140" s="3">
        <v>43938</v>
      </c>
      <c r="D140">
        <v>80</v>
      </c>
      <c r="E140" s="2" t="s">
        <v>88</v>
      </c>
      <c r="F140" s="2">
        <v>93.58</v>
      </c>
      <c r="G140" s="2" t="str">
        <f>IF(F140&gt;D140,"Yes","No")</f>
        <v>Yes</v>
      </c>
    </row>
    <row r="141" spans="1:7" x14ac:dyDescent="0.35">
      <c r="A141" s="2" t="s">
        <v>449</v>
      </c>
      <c r="B141" s="2" t="s">
        <v>22</v>
      </c>
      <c r="C141" s="3">
        <v>43784</v>
      </c>
      <c r="D141">
        <v>107</v>
      </c>
      <c r="E141" s="2" t="s">
        <v>20</v>
      </c>
      <c r="F141" s="2">
        <v>93.58</v>
      </c>
      <c r="G141" s="2" t="str">
        <f>IF(F141&gt;D141,"Yes","No")</f>
        <v>No</v>
      </c>
    </row>
    <row r="142" spans="1:7" x14ac:dyDescent="0.35">
      <c r="A142" s="2" t="s">
        <v>349</v>
      </c>
      <c r="B142" s="2" t="s">
        <v>350</v>
      </c>
      <c r="C142" s="3">
        <v>43077</v>
      </c>
      <c r="D142">
        <v>89</v>
      </c>
      <c r="E142" s="2" t="s">
        <v>20</v>
      </c>
      <c r="F142" s="2">
        <v>93.58</v>
      </c>
      <c r="G142" s="2" t="str">
        <f>IF(F142&gt;D142,"Yes","No")</f>
        <v>Yes</v>
      </c>
    </row>
    <row r="143" spans="1:7" x14ac:dyDescent="0.35">
      <c r="A143" s="2" t="s">
        <v>985</v>
      </c>
      <c r="B143" s="2" t="s">
        <v>287</v>
      </c>
      <c r="C143" s="3">
        <v>43749</v>
      </c>
      <c r="D143">
        <v>121</v>
      </c>
      <c r="E143" s="2" t="s">
        <v>20</v>
      </c>
      <c r="F143" s="2">
        <v>93.58</v>
      </c>
      <c r="G143" s="2" t="str">
        <f>IF(F143&gt;D143,"Yes","No")</f>
        <v>No</v>
      </c>
    </row>
    <row r="144" spans="1:7" x14ac:dyDescent="0.35">
      <c r="A144" s="2" t="s">
        <v>916</v>
      </c>
      <c r="B144" s="2" t="s">
        <v>6</v>
      </c>
      <c r="C144" s="3">
        <v>43826</v>
      </c>
      <c r="D144">
        <v>73</v>
      </c>
      <c r="E144" s="2" t="s">
        <v>12</v>
      </c>
      <c r="F144" s="2">
        <v>93.58</v>
      </c>
      <c r="G144" s="2" t="str">
        <f>IF(F144&gt;D144,"Yes","No")</f>
        <v>Yes</v>
      </c>
    </row>
    <row r="145" spans="1:7" x14ac:dyDescent="0.35">
      <c r="A145" s="2" t="s">
        <v>352</v>
      </c>
      <c r="B145" s="2" t="s">
        <v>95</v>
      </c>
      <c r="C145" s="3">
        <v>43756</v>
      </c>
      <c r="D145">
        <v>98</v>
      </c>
      <c r="E145" s="2" t="s">
        <v>20</v>
      </c>
      <c r="F145" s="2">
        <v>93.58</v>
      </c>
      <c r="G145" s="2" t="str">
        <f>IF(F145&gt;D145,"Yes","No")</f>
        <v>No</v>
      </c>
    </row>
    <row r="146" spans="1:7" x14ac:dyDescent="0.35">
      <c r="A146" s="2" t="s">
        <v>739</v>
      </c>
      <c r="B146" s="2" t="s">
        <v>322</v>
      </c>
      <c r="C146" s="3">
        <v>43623</v>
      </c>
      <c r="D146">
        <v>118</v>
      </c>
      <c r="E146" s="2" t="s">
        <v>12</v>
      </c>
      <c r="F146" s="2">
        <v>93.58</v>
      </c>
      <c r="G146" s="2" t="str">
        <f>IF(F146&gt;D146,"Yes","No")</f>
        <v>No</v>
      </c>
    </row>
    <row r="147" spans="1:7" x14ac:dyDescent="0.35">
      <c r="A147" s="2" t="s">
        <v>1125</v>
      </c>
      <c r="B147" s="2" t="s">
        <v>6</v>
      </c>
      <c r="C147" s="3">
        <v>44173</v>
      </c>
      <c r="D147">
        <v>89</v>
      </c>
      <c r="E147" s="2" t="s">
        <v>102</v>
      </c>
      <c r="F147" s="2">
        <v>93.58</v>
      </c>
      <c r="G147" s="2" t="str">
        <f>IF(F147&gt;D147,"Yes","No")</f>
        <v>Yes</v>
      </c>
    </row>
    <row r="148" spans="1:7" x14ac:dyDescent="0.35">
      <c r="A148" s="2" t="s">
        <v>918</v>
      </c>
      <c r="B148" s="2" t="s">
        <v>6</v>
      </c>
      <c r="C148" s="3">
        <v>43224</v>
      </c>
      <c r="D148">
        <v>40</v>
      </c>
      <c r="E148" s="2" t="s">
        <v>20</v>
      </c>
      <c r="F148" s="2">
        <v>93.58</v>
      </c>
      <c r="G148" s="2" t="str">
        <f>IF(F148&gt;D148,"Yes","No")</f>
        <v>Yes</v>
      </c>
    </row>
    <row r="149" spans="1:7" x14ac:dyDescent="0.35">
      <c r="A149" s="2" t="s">
        <v>5</v>
      </c>
      <c r="B149" s="2" t="s">
        <v>6</v>
      </c>
      <c r="C149" s="3">
        <v>43682</v>
      </c>
      <c r="D149">
        <v>58</v>
      </c>
      <c r="E149" s="2" t="s">
        <v>8</v>
      </c>
      <c r="F149" s="2">
        <v>93.58</v>
      </c>
      <c r="G149" s="2" t="str">
        <f>IF(F149&gt;D149,"Yes","No")</f>
        <v>Yes</v>
      </c>
    </row>
    <row r="150" spans="1:7" x14ac:dyDescent="0.35">
      <c r="A150" s="2" t="s">
        <v>703</v>
      </c>
      <c r="B150" s="2" t="s">
        <v>638</v>
      </c>
      <c r="C150" s="3">
        <v>44008</v>
      </c>
      <c r="D150">
        <v>123</v>
      </c>
      <c r="E150" s="2" t="s">
        <v>20</v>
      </c>
      <c r="F150" s="2">
        <v>93.58</v>
      </c>
      <c r="G150" s="2" t="str">
        <f>IF(F150&gt;D150,"Yes","No")</f>
        <v>No</v>
      </c>
    </row>
    <row r="151" spans="1:7" x14ac:dyDescent="0.35">
      <c r="A151" s="2" t="s">
        <v>919</v>
      </c>
      <c r="B151" s="2" t="s">
        <v>6</v>
      </c>
      <c r="C151" s="3">
        <v>43718</v>
      </c>
      <c r="D151">
        <v>96</v>
      </c>
      <c r="E151" s="2" t="s">
        <v>20</v>
      </c>
      <c r="F151" s="2">
        <v>93.58</v>
      </c>
      <c r="G151" s="2" t="str">
        <f>IF(F151&gt;D151,"Yes","No")</f>
        <v>No</v>
      </c>
    </row>
    <row r="152" spans="1:7" x14ac:dyDescent="0.35">
      <c r="A152" s="2" t="s">
        <v>396</v>
      </c>
      <c r="B152" s="2" t="s">
        <v>397</v>
      </c>
      <c r="C152" s="3">
        <v>43308</v>
      </c>
      <c r="D152">
        <v>95</v>
      </c>
      <c r="E152" s="2" t="s">
        <v>20</v>
      </c>
      <c r="F152" s="2">
        <v>93.58</v>
      </c>
      <c r="G152" s="2" t="str">
        <f>IF(F152&gt;D152,"Yes","No")</f>
        <v>No</v>
      </c>
    </row>
    <row r="153" spans="1:7" x14ac:dyDescent="0.35">
      <c r="A153" s="2" t="s">
        <v>775</v>
      </c>
      <c r="B153" s="2" t="s">
        <v>26</v>
      </c>
      <c r="C153" s="3">
        <v>43945</v>
      </c>
      <c r="D153">
        <v>117</v>
      </c>
      <c r="E153" s="2" t="s">
        <v>20</v>
      </c>
      <c r="F153" s="2">
        <v>93.58</v>
      </c>
      <c r="G153" s="2" t="str">
        <f>IF(F153&gt;D153,"Yes","No")</f>
        <v>No</v>
      </c>
    </row>
    <row r="154" spans="1:7" x14ac:dyDescent="0.35">
      <c r="A154" s="2" t="s">
        <v>986</v>
      </c>
      <c r="B154" s="2" t="s">
        <v>6</v>
      </c>
      <c r="C154" s="3">
        <v>42626</v>
      </c>
      <c r="D154">
        <v>24</v>
      </c>
      <c r="E154" s="2" t="s">
        <v>20</v>
      </c>
      <c r="F154" s="2">
        <v>93.58</v>
      </c>
      <c r="G154" s="2" t="str">
        <f>IF(F154&gt;D154,"Yes","No")</f>
        <v>Yes</v>
      </c>
    </row>
    <row r="155" spans="1:7" x14ac:dyDescent="0.35">
      <c r="A155" s="2" t="s">
        <v>315</v>
      </c>
      <c r="B155" s="2" t="s">
        <v>47</v>
      </c>
      <c r="C155" s="3">
        <v>43706</v>
      </c>
      <c r="D155">
        <v>97</v>
      </c>
      <c r="E155" s="2" t="s">
        <v>20</v>
      </c>
      <c r="F155" s="2">
        <v>93.58</v>
      </c>
      <c r="G155" s="2" t="str">
        <f>IF(F155&gt;D155,"Yes","No")</f>
        <v>No</v>
      </c>
    </row>
    <row r="156" spans="1:7" x14ac:dyDescent="0.35">
      <c r="A156" s="2" t="s">
        <v>79</v>
      </c>
      <c r="B156" s="2" t="s">
        <v>10</v>
      </c>
      <c r="C156" s="3">
        <v>44028</v>
      </c>
      <c r="D156">
        <v>89</v>
      </c>
      <c r="E156" s="2" t="s">
        <v>20</v>
      </c>
      <c r="F156" s="2">
        <v>93.58</v>
      </c>
      <c r="G156" s="2" t="str">
        <f>IF(F156&gt;D156,"Yes","No")</f>
        <v>Yes</v>
      </c>
    </row>
    <row r="157" spans="1:7" x14ac:dyDescent="0.35">
      <c r="A157" s="2" t="s">
        <v>187</v>
      </c>
      <c r="B157" s="2" t="s">
        <v>29</v>
      </c>
      <c r="C157" s="3">
        <v>43301</v>
      </c>
      <c r="D157">
        <v>94</v>
      </c>
      <c r="E157" s="2" t="s">
        <v>20</v>
      </c>
      <c r="F157" s="2">
        <v>93.58</v>
      </c>
      <c r="G157" s="2" t="str">
        <f>IF(F157&gt;D157,"Yes","No")</f>
        <v>No</v>
      </c>
    </row>
    <row r="158" spans="1:7" x14ac:dyDescent="0.35">
      <c r="A158" s="2" t="s">
        <v>988</v>
      </c>
      <c r="B158" s="2" t="s">
        <v>6</v>
      </c>
      <c r="C158" s="3">
        <v>44029</v>
      </c>
      <c r="D158">
        <v>100</v>
      </c>
      <c r="E158" s="2" t="s">
        <v>20</v>
      </c>
      <c r="F158" s="2">
        <v>93.58</v>
      </c>
      <c r="G158" s="2" t="str">
        <f>IF(F158&gt;D158,"Yes","No")</f>
        <v>No</v>
      </c>
    </row>
    <row r="159" spans="1:7" x14ac:dyDescent="0.35">
      <c r="A159" s="2" t="s">
        <v>143</v>
      </c>
      <c r="B159" s="2" t="s">
        <v>144</v>
      </c>
      <c r="C159" s="3">
        <v>44057</v>
      </c>
      <c r="D159">
        <v>89</v>
      </c>
      <c r="E159" s="2" t="s">
        <v>20</v>
      </c>
      <c r="F159" s="2">
        <v>93.58</v>
      </c>
      <c r="G159" s="2" t="str">
        <f>IF(F159&gt;D159,"Yes","No")</f>
        <v>Yes</v>
      </c>
    </row>
    <row r="160" spans="1:7" x14ac:dyDescent="0.35">
      <c r="A160" s="2" t="s">
        <v>586</v>
      </c>
      <c r="B160" s="2" t="s">
        <v>587</v>
      </c>
      <c r="C160" s="3">
        <v>44001</v>
      </c>
      <c r="D160">
        <v>107</v>
      </c>
      <c r="E160" s="2" t="s">
        <v>20</v>
      </c>
      <c r="F160" s="2">
        <v>93.58</v>
      </c>
      <c r="G160" s="2" t="str">
        <f>IF(F160&gt;D160,"Yes","No")</f>
        <v>No</v>
      </c>
    </row>
    <row r="161" spans="1:7" x14ac:dyDescent="0.35">
      <c r="A161" s="2" t="s">
        <v>873</v>
      </c>
      <c r="B161" s="2" t="s">
        <v>6</v>
      </c>
      <c r="C161" s="3">
        <v>43385</v>
      </c>
      <c r="D161">
        <v>86</v>
      </c>
      <c r="E161" s="2" t="s">
        <v>20</v>
      </c>
      <c r="F161" s="2">
        <v>93.58</v>
      </c>
      <c r="G161" s="2" t="str">
        <f>IF(F161&gt;D161,"Yes","No")</f>
        <v>Yes</v>
      </c>
    </row>
    <row r="162" spans="1:7" x14ac:dyDescent="0.35">
      <c r="A162" s="2" t="s">
        <v>921</v>
      </c>
      <c r="B162" s="2" t="s">
        <v>287</v>
      </c>
      <c r="C162" s="3">
        <v>44330</v>
      </c>
      <c r="D162">
        <v>106</v>
      </c>
      <c r="E162" s="2" t="s">
        <v>83</v>
      </c>
      <c r="F162" s="2">
        <v>93.58</v>
      </c>
      <c r="G162" s="2" t="str">
        <f>IF(F162&gt;D162,"Yes","No")</f>
        <v>No</v>
      </c>
    </row>
    <row r="163" spans="1:7" x14ac:dyDescent="0.35">
      <c r="A163" s="2" t="s">
        <v>109</v>
      </c>
      <c r="B163" s="2" t="s">
        <v>43</v>
      </c>
      <c r="C163" s="3">
        <v>44165</v>
      </c>
      <c r="D163">
        <v>105</v>
      </c>
      <c r="E163" s="2" t="s">
        <v>111</v>
      </c>
      <c r="F163" s="2">
        <v>93.58</v>
      </c>
      <c r="G163" s="2" t="str">
        <f>IF(F163&gt;D163,"Yes","No")</f>
        <v>No</v>
      </c>
    </row>
    <row r="164" spans="1:7" x14ac:dyDescent="0.35">
      <c r="A164" s="2" t="s">
        <v>505</v>
      </c>
      <c r="B164" s="2" t="s">
        <v>347</v>
      </c>
      <c r="C164" s="3">
        <v>44225</v>
      </c>
      <c r="D164">
        <v>123</v>
      </c>
      <c r="E164" s="2" t="s">
        <v>20</v>
      </c>
      <c r="F164" s="2">
        <v>93.58</v>
      </c>
      <c r="G164" s="2" t="str">
        <f>IF(F164&gt;D164,"Yes","No")</f>
        <v>No</v>
      </c>
    </row>
    <row r="165" spans="1:7" x14ac:dyDescent="0.35">
      <c r="A165" s="2" t="s">
        <v>1024</v>
      </c>
      <c r="B165" s="2" t="s">
        <v>6</v>
      </c>
      <c r="C165" s="3">
        <v>43770</v>
      </c>
      <c r="D165">
        <v>39</v>
      </c>
      <c r="E165" s="2" t="s">
        <v>20</v>
      </c>
      <c r="F165" s="2">
        <v>93.58</v>
      </c>
      <c r="G165" s="2" t="str">
        <f>IF(F165&gt;D165,"Yes","No")</f>
        <v>Yes</v>
      </c>
    </row>
    <row r="166" spans="1:7" x14ac:dyDescent="0.35">
      <c r="A166" s="2" t="s">
        <v>189</v>
      </c>
      <c r="B166" s="2" t="s">
        <v>43</v>
      </c>
      <c r="C166" s="3">
        <v>43518</v>
      </c>
      <c r="D166">
        <v>112</v>
      </c>
      <c r="E166" s="2" t="s">
        <v>190</v>
      </c>
      <c r="F166" s="2">
        <v>93.58</v>
      </c>
      <c r="G166" s="2" t="str">
        <f>IF(F166&gt;D166,"Yes","No")</f>
        <v>No</v>
      </c>
    </row>
    <row r="167" spans="1:7" x14ac:dyDescent="0.35">
      <c r="A167" s="2" t="s">
        <v>640</v>
      </c>
      <c r="B167" s="2" t="s">
        <v>442</v>
      </c>
      <c r="C167" s="3">
        <v>43189</v>
      </c>
      <c r="D167">
        <v>102</v>
      </c>
      <c r="E167" s="2" t="s">
        <v>20</v>
      </c>
      <c r="F167" s="2">
        <v>93.58</v>
      </c>
      <c r="G167" s="2" t="str">
        <f>IF(F167&gt;D167,"Yes","No")</f>
        <v>No</v>
      </c>
    </row>
    <row r="168" spans="1:7" x14ac:dyDescent="0.35">
      <c r="A168" s="2" t="s">
        <v>951</v>
      </c>
      <c r="B168" s="2" t="s">
        <v>43</v>
      </c>
      <c r="C168" s="3">
        <v>42993</v>
      </c>
      <c r="D168">
        <v>136</v>
      </c>
      <c r="E168" s="2" t="s">
        <v>953</v>
      </c>
      <c r="F168" s="2">
        <v>93.58</v>
      </c>
      <c r="G168" s="2" t="str">
        <f>IF(F168&gt;D168,"Yes","No")</f>
        <v>No</v>
      </c>
    </row>
    <row r="169" spans="1:7" x14ac:dyDescent="0.35">
      <c r="A169" s="2" t="s">
        <v>470</v>
      </c>
      <c r="B169" s="2" t="s">
        <v>43</v>
      </c>
      <c r="C169" s="3">
        <v>43224</v>
      </c>
      <c r="D169">
        <v>104</v>
      </c>
      <c r="E169" s="2" t="s">
        <v>16</v>
      </c>
      <c r="F169" s="2">
        <v>93.58</v>
      </c>
      <c r="G169" s="2" t="str">
        <f>IF(F169&gt;D169,"Yes","No")</f>
        <v>No</v>
      </c>
    </row>
    <row r="170" spans="1:7" x14ac:dyDescent="0.35">
      <c r="A170" s="2" t="s">
        <v>641</v>
      </c>
      <c r="B170" s="2" t="s">
        <v>10</v>
      </c>
      <c r="C170" s="3">
        <v>43749</v>
      </c>
      <c r="D170">
        <v>100</v>
      </c>
      <c r="E170" s="2" t="s">
        <v>20</v>
      </c>
      <c r="F170" s="2">
        <v>93.58</v>
      </c>
      <c r="G170" s="2" t="str">
        <f>IF(F170&gt;D170,"Yes","No")</f>
        <v>No</v>
      </c>
    </row>
    <row r="171" spans="1:7" x14ac:dyDescent="0.35">
      <c r="A171" s="2" t="s">
        <v>450</v>
      </c>
      <c r="B171" s="2" t="s">
        <v>405</v>
      </c>
      <c r="C171" s="3">
        <v>43662</v>
      </c>
      <c r="D171">
        <v>32</v>
      </c>
      <c r="E171" s="2" t="s">
        <v>20</v>
      </c>
      <c r="F171" s="2">
        <v>93.58</v>
      </c>
      <c r="G171" s="2" t="str">
        <f>IF(F171&gt;D171,"Yes","No")</f>
        <v>Yes</v>
      </c>
    </row>
    <row r="172" spans="1:7" x14ac:dyDescent="0.35">
      <c r="A172" s="2" t="s">
        <v>246</v>
      </c>
      <c r="B172" s="2" t="s">
        <v>247</v>
      </c>
      <c r="C172" s="3">
        <v>44076</v>
      </c>
      <c r="D172">
        <v>92</v>
      </c>
      <c r="E172" s="2" t="s">
        <v>125</v>
      </c>
      <c r="F172" s="2">
        <v>93.58</v>
      </c>
      <c r="G172" s="2" t="str">
        <f>IF(F172&gt;D172,"Yes","No")</f>
        <v>Yes</v>
      </c>
    </row>
    <row r="173" spans="1:7" x14ac:dyDescent="0.35">
      <c r="A173" s="2" t="s">
        <v>954</v>
      </c>
      <c r="B173" s="2" t="s">
        <v>6</v>
      </c>
      <c r="C173" s="3">
        <v>43483</v>
      </c>
      <c r="D173">
        <v>97</v>
      </c>
      <c r="E173" s="2" t="s">
        <v>20</v>
      </c>
      <c r="F173" s="2">
        <v>93.58</v>
      </c>
      <c r="G173" s="2" t="str">
        <f>IF(F173&gt;D173,"Yes","No")</f>
        <v>No</v>
      </c>
    </row>
    <row r="174" spans="1:7" x14ac:dyDescent="0.35">
      <c r="A174" s="2" t="s">
        <v>874</v>
      </c>
      <c r="B174" s="2" t="s">
        <v>6</v>
      </c>
      <c r="C174" s="3">
        <v>43000</v>
      </c>
      <c r="D174">
        <v>100</v>
      </c>
      <c r="E174" s="2" t="s">
        <v>20</v>
      </c>
      <c r="F174" s="2">
        <v>93.58</v>
      </c>
      <c r="G174" s="2" t="str">
        <f>IF(F174&gt;D174,"Yes","No")</f>
        <v>No</v>
      </c>
    </row>
    <row r="175" spans="1:7" x14ac:dyDescent="0.35">
      <c r="A175" s="2" t="s">
        <v>249</v>
      </c>
      <c r="B175" s="2" t="s">
        <v>250</v>
      </c>
      <c r="C175" s="3">
        <v>43182</v>
      </c>
      <c r="D175">
        <v>101</v>
      </c>
      <c r="E175" s="2" t="s">
        <v>20</v>
      </c>
      <c r="F175" s="2">
        <v>93.58</v>
      </c>
      <c r="G175" s="2" t="str">
        <f>IF(F175&gt;D175,"Yes","No")</f>
        <v>No</v>
      </c>
    </row>
    <row r="176" spans="1:7" x14ac:dyDescent="0.35">
      <c r="A176" s="2" t="s">
        <v>171</v>
      </c>
      <c r="B176" s="2" t="s">
        <v>172</v>
      </c>
      <c r="C176" s="3">
        <v>44252</v>
      </c>
      <c r="D176">
        <v>105</v>
      </c>
      <c r="E176" s="2" t="s">
        <v>49</v>
      </c>
      <c r="F176" s="2">
        <v>93.58</v>
      </c>
      <c r="G176" s="2" t="str">
        <f>IF(F176&gt;D176,"Yes","No")</f>
        <v>No</v>
      </c>
    </row>
    <row r="177" spans="1:7" x14ac:dyDescent="0.35">
      <c r="A177" s="2" t="s">
        <v>705</v>
      </c>
      <c r="B177" s="2" t="s">
        <v>18</v>
      </c>
      <c r="C177" s="3">
        <v>43007</v>
      </c>
      <c r="D177">
        <v>103</v>
      </c>
      <c r="E177" s="2" t="s">
        <v>20</v>
      </c>
      <c r="F177" s="2">
        <v>93.58</v>
      </c>
      <c r="G177" s="2" t="str">
        <f>IF(F177&gt;D177,"Yes","No")</f>
        <v>No</v>
      </c>
    </row>
    <row r="178" spans="1:7" x14ac:dyDescent="0.35">
      <c r="A178" s="2" t="s">
        <v>990</v>
      </c>
      <c r="B178" s="2" t="s">
        <v>6</v>
      </c>
      <c r="C178" s="3">
        <v>42867</v>
      </c>
      <c r="D178">
        <v>101</v>
      </c>
      <c r="E178" s="2" t="s">
        <v>20</v>
      </c>
      <c r="F178" s="2">
        <v>93.58</v>
      </c>
      <c r="G178" s="2" t="str">
        <f>IF(F178&gt;D178,"Yes","No")</f>
        <v>No</v>
      </c>
    </row>
    <row r="179" spans="1:7" x14ac:dyDescent="0.35">
      <c r="A179" s="2" t="s">
        <v>588</v>
      </c>
      <c r="B179" s="2" t="s">
        <v>29</v>
      </c>
      <c r="C179" s="3">
        <v>44273</v>
      </c>
      <c r="D179">
        <v>97</v>
      </c>
      <c r="E179" s="2" t="s">
        <v>102</v>
      </c>
      <c r="F179" s="2">
        <v>93.58</v>
      </c>
      <c r="G179" s="2" t="str">
        <f>IF(F179&gt;D179,"Yes","No")</f>
        <v>No</v>
      </c>
    </row>
    <row r="180" spans="1:7" x14ac:dyDescent="0.35">
      <c r="A180" s="2" t="s">
        <v>274</v>
      </c>
      <c r="B180" s="2" t="s">
        <v>29</v>
      </c>
      <c r="C180" s="3">
        <v>44314</v>
      </c>
      <c r="D180">
        <v>94</v>
      </c>
      <c r="E180" s="2" t="s">
        <v>102</v>
      </c>
      <c r="F180" s="2">
        <v>93.58</v>
      </c>
      <c r="G180" s="2" t="str">
        <f>IF(F180&gt;D180,"Yes","No")</f>
        <v>No</v>
      </c>
    </row>
    <row r="181" spans="1:7" x14ac:dyDescent="0.35">
      <c r="A181" s="2" t="s">
        <v>191</v>
      </c>
      <c r="B181" s="2" t="s">
        <v>95</v>
      </c>
      <c r="C181" s="3">
        <v>44342</v>
      </c>
      <c r="D181">
        <v>117</v>
      </c>
      <c r="E181" s="2" t="s">
        <v>193</v>
      </c>
      <c r="F181" s="2">
        <v>93.58</v>
      </c>
      <c r="G181" s="2" t="str">
        <f>IF(F181&gt;D181,"Yes","No")</f>
        <v>No</v>
      </c>
    </row>
    <row r="182" spans="1:7" x14ac:dyDescent="0.35">
      <c r="A182" s="2" t="s">
        <v>58</v>
      </c>
      <c r="B182" s="2" t="s">
        <v>59</v>
      </c>
      <c r="C182" s="3">
        <v>43831</v>
      </c>
      <c r="D182">
        <v>144</v>
      </c>
      <c r="E182" s="2" t="s">
        <v>24</v>
      </c>
      <c r="F182" s="2">
        <v>93.58</v>
      </c>
      <c r="G182" s="2" t="str">
        <f>IF(F182&gt;D182,"Yes","No")</f>
        <v>No</v>
      </c>
    </row>
    <row r="183" spans="1:7" x14ac:dyDescent="0.35">
      <c r="A183" s="2" t="s">
        <v>276</v>
      </c>
      <c r="B183" s="2" t="s">
        <v>6</v>
      </c>
      <c r="C183" s="3">
        <v>43754</v>
      </c>
      <c r="D183">
        <v>21</v>
      </c>
      <c r="E183" s="2" t="s">
        <v>20</v>
      </c>
      <c r="F183" s="2">
        <v>93.58</v>
      </c>
      <c r="G183" s="2" t="str">
        <f>IF(F183&gt;D183,"Yes","No")</f>
        <v>Yes</v>
      </c>
    </row>
    <row r="184" spans="1:7" x14ac:dyDescent="0.35">
      <c r="A184" s="2" t="s">
        <v>822</v>
      </c>
      <c r="B184" s="2" t="s">
        <v>6</v>
      </c>
      <c r="C184" s="3">
        <v>44091</v>
      </c>
      <c r="D184">
        <v>96</v>
      </c>
      <c r="E184" s="2" t="s">
        <v>88</v>
      </c>
      <c r="F184" s="2">
        <v>93.58</v>
      </c>
      <c r="G184" s="2" t="str">
        <f>IF(F184&gt;D184,"Yes","No")</f>
        <v>No</v>
      </c>
    </row>
    <row r="185" spans="1:7" x14ac:dyDescent="0.35">
      <c r="A185" s="2" t="s">
        <v>354</v>
      </c>
      <c r="B185" s="2" t="s">
        <v>47</v>
      </c>
      <c r="C185" s="3">
        <v>44113</v>
      </c>
      <c r="D185">
        <v>125</v>
      </c>
      <c r="E185" s="2" t="s">
        <v>24</v>
      </c>
      <c r="F185" s="2">
        <v>93.58</v>
      </c>
      <c r="G185" s="2" t="str">
        <f>IF(F185&gt;D185,"Yes","No")</f>
        <v>No</v>
      </c>
    </row>
    <row r="186" spans="1:7" x14ac:dyDescent="0.35">
      <c r="A186" s="2" t="s">
        <v>194</v>
      </c>
      <c r="B186" s="2" t="s">
        <v>29</v>
      </c>
      <c r="C186" s="3">
        <v>42780</v>
      </c>
      <c r="D186">
        <v>70</v>
      </c>
      <c r="E186" s="2" t="s">
        <v>20</v>
      </c>
      <c r="F186" s="2">
        <v>93.58</v>
      </c>
      <c r="G186" s="2" t="str">
        <f>IF(F186&gt;D186,"Yes","No")</f>
        <v>Yes</v>
      </c>
    </row>
    <row r="187" spans="1:7" x14ac:dyDescent="0.35">
      <c r="A187" s="2" t="s">
        <v>777</v>
      </c>
      <c r="B187" s="2" t="s">
        <v>6</v>
      </c>
      <c r="C187" s="3">
        <v>44176</v>
      </c>
      <c r="D187">
        <v>90</v>
      </c>
      <c r="E187" s="2" t="s">
        <v>20</v>
      </c>
      <c r="F187" s="2">
        <v>93.58</v>
      </c>
      <c r="G187" s="2" t="str">
        <f>IF(F187&gt;D187,"Yes","No")</f>
        <v>Yes</v>
      </c>
    </row>
    <row r="188" spans="1:7" x14ac:dyDescent="0.35">
      <c r="A188" s="2" t="s">
        <v>356</v>
      </c>
      <c r="B188" s="2" t="s">
        <v>43</v>
      </c>
      <c r="C188" s="3">
        <v>43601</v>
      </c>
      <c r="D188">
        <v>89</v>
      </c>
      <c r="E188" s="2" t="s">
        <v>20</v>
      </c>
      <c r="F188" s="2">
        <v>93.58</v>
      </c>
      <c r="G188" s="2" t="str">
        <f>IF(F188&gt;D188,"Yes","No")</f>
        <v>Yes</v>
      </c>
    </row>
    <row r="189" spans="1:7" x14ac:dyDescent="0.35">
      <c r="A189" s="2" t="s">
        <v>922</v>
      </c>
      <c r="B189" s="2" t="s">
        <v>6</v>
      </c>
      <c r="C189" s="3">
        <v>43575</v>
      </c>
      <c r="D189">
        <v>97</v>
      </c>
      <c r="E189" s="2" t="s">
        <v>20</v>
      </c>
      <c r="F189" s="2">
        <v>93.58</v>
      </c>
      <c r="G189" s="2" t="str">
        <f>IF(F189&gt;D189,"Yes","No")</f>
        <v>No</v>
      </c>
    </row>
    <row r="190" spans="1:7" x14ac:dyDescent="0.35">
      <c r="A190" s="2" t="s">
        <v>924</v>
      </c>
      <c r="B190" s="2" t="s">
        <v>6</v>
      </c>
      <c r="C190" s="3">
        <v>44131</v>
      </c>
      <c r="D190">
        <v>94</v>
      </c>
      <c r="E190" s="2" t="s">
        <v>12</v>
      </c>
      <c r="F190" s="2">
        <v>93.58</v>
      </c>
      <c r="G190" s="2" t="str">
        <f>IF(F190&gt;D190,"Yes","No")</f>
        <v>No</v>
      </c>
    </row>
    <row r="191" spans="1:7" x14ac:dyDescent="0.35">
      <c r="A191" s="2" t="s">
        <v>251</v>
      </c>
      <c r="B191" s="2" t="s">
        <v>10</v>
      </c>
      <c r="C191" s="3">
        <v>43896</v>
      </c>
      <c r="D191">
        <v>119</v>
      </c>
      <c r="E191" s="2" t="s">
        <v>24</v>
      </c>
      <c r="F191" s="2">
        <v>93.58</v>
      </c>
      <c r="G191" s="2" t="str">
        <f>IF(F191&gt;D191,"Yes","No")</f>
        <v>No</v>
      </c>
    </row>
    <row r="192" spans="1:7" x14ac:dyDescent="0.35">
      <c r="A192" s="2" t="s">
        <v>225</v>
      </c>
      <c r="B192" s="2" t="s">
        <v>43</v>
      </c>
      <c r="C192" s="3">
        <v>44055</v>
      </c>
      <c r="D192">
        <v>112</v>
      </c>
      <c r="E192" s="2" t="s">
        <v>24</v>
      </c>
      <c r="F192" s="2">
        <v>93.58</v>
      </c>
      <c r="G192" s="2" t="str">
        <f>IF(F192&gt;D192,"Yes","No")</f>
        <v>No</v>
      </c>
    </row>
    <row r="193" spans="1:7" x14ac:dyDescent="0.35">
      <c r="A193" s="2" t="s">
        <v>196</v>
      </c>
      <c r="B193" s="2" t="s">
        <v>29</v>
      </c>
      <c r="C193" s="3">
        <v>42860</v>
      </c>
      <c r="D193">
        <v>81</v>
      </c>
      <c r="E193" s="2" t="s">
        <v>20</v>
      </c>
      <c r="F193" s="2">
        <v>93.58</v>
      </c>
      <c r="G193" s="2" t="str">
        <f>IF(F193&gt;D193,"Yes","No")</f>
        <v>Yes</v>
      </c>
    </row>
    <row r="194" spans="1:7" x14ac:dyDescent="0.35">
      <c r="A194" s="2" t="s">
        <v>399</v>
      </c>
      <c r="B194" s="2" t="s">
        <v>47</v>
      </c>
      <c r="C194" s="3">
        <v>43189</v>
      </c>
      <c r="D194">
        <v>78</v>
      </c>
      <c r="E194" s="2" t="s">
        <v>20</v>
      </c>
      <c r="F194" s="2">
        <v>93.58</v>
      </c>
      <c r="G194" s="2" t="str">
        <f>IF(F194&gt;D194,"Yes","No")</f>
        <v>Yes</v>
      </c>
    </row>
    <row r="195" spans="1:7" x14ac:dyDescent="0.35">
      <c r="A195" s="2" t="s">
        <v>824</v>
      </c>
      <c r="B195" s="2" t="s">
        <v>6</v>
      </c>
      <c r="C195" s="3">
        <v>43962</v>
      </c>
      <c r="D195">
        <v>85</v>
      </c>
      <c r="E195" s="2" t="s">
        <v>20</v>
      </c>
      <c r="F195" s="2">
        <v>93.58</v>
      </c>
      <c r="G195" s="2" t="str">
        <f>IF(F195&gt;D195,"Yes","No")</f>
        <v>Yes</v>
      </c>
    </row>
    <row r="196" spans="1:7" x14ac:dyDescent="0.35">
      <c r="A196" s="2" t="s">
        <v>551</v>
      </c>
      <c r="B196" s="2" t="s">
        <v>29</v>
      </c>
      <c r="C196" s="3">
        <v>44295</v>
      </c>
      <c r="D196">
        <v>114</v>
      </c>
      <c r="E196" s="2" t="s">
        <v>31</v>
      </c>
      <c r="F196" s="2">
        <v>93.58</v>
      </c>
      <c r="G196" s="2" t="str">
        <f>IF(F196&gt;D196,"Yes","No")</f>
        <v>No</v>
      </c>
    </row>
    <row r="197" spans="1:7" x14ac:dyDescent="0.35">
      <c r="A197" s="2" t="s">
        <v>68</v>
      </c>
      <c r="B197" s="2" t="s">
        <v>6</v>
      </c>
      <c r="C197" s="3">
        <v>43721</v>
      </c>
      <c r="D197">
        <v>64</v>
      </c>
      <c r="E197" s="2" t="s">
        <v>20</v>
      </c>
      <c r="F197" s="2">
        <v>93.58</v>
      </c>
      <c r="G197" s="2" t="str">
        <f>IF(F197&gt;D197,"Yes","No")</f>
        <v>Yes</v>
      </c>
    </row>
    <row r="198" spans="1:7" x14ac:dyDescent="0.35">
      <c r="A198" s="2" t="s">
        <v>826</v>
      </c>
      <c r="B198" s="2" t="s">
        <v>6</v>
      </c>
      <c r="C198" s="3">
        <v>42990</v>
      </c>
      <c r="D198">
        <v>39</v>
      </c>
      <c r="E198" s="2" t="s">
        <v>20</v>
      </c>
      <c r="F198" s="2">
        <v>93.58</v>
      </c>
      <c r="G198" s="2" t="str">
        <f>IF(F198&gt;D198,"Yes","No")</f>
        <v>Yes</v>
      </c>
    </row>
    <row r="199" spans="1:7" x14ac:dyDescent="0.35">
      <c r="A199" s="2" t="s">
        <v>552</v>
      </c>
      <c r="B199" s="2" t="s">
        <v>442</v>
      </c>
      <c r="C199" s="3">
        <v>43504</v>
      </c>
      <c r="D199">
        <v>90</v>
      </c>
      <c r="E199" s="2" t="s">
        <v>20</v>
      </c>
      <c r="F199" s="2">
        <v>93.58</v>
      </c>
      <c r="G199" s="2" t="str">
        <f>IF(F199&gt;D199,"Yes","No")</f>
        <v>Yes</v>
      </c>
    </row>
    <row r="200" spans="1:7" x14ac:dyDescent="0.35">
      <c r="A200" s="2" t="s">
        <v>778</v>
      </c>
      <c r="B200" s="2" t="s">
        <v>43</v>
      </c>
      <c r="C200" s="3">
        <v>44159</v>
      </c>
      <c r="D200">
        <v>117</v>
      </c>
      <c r="E200" s="2" t="s">
        <v>20</v>
      </c>
      <c r="F200" s="2">
        <v>93.58</v>
      </c>
      <c r="G200" s="2" t="str">
        <f>IF(F200&gt;D200,"Yes","No")</f>
        <v>No</v>
      </c>
    </row>
    <row r="201" spans="1:7" x14ac:dyDescent="0.35">
      <c r="A201" s="2" t="s">
        <v>707</v>
      </c>
      <c r="B201" s="2" t="s">
        <v>10</v>
      </c>
      <c r="C201" s="3">
        <v>44134</v>
      </c>
      <c r="D201">
        <v>93</v>
      </c>
      <c r="E201" s="2" t="s">
        <v>20</v>
      </c>
      <c r="F201" s="2">
        <v>93.58</v>
      </c>
      <c r="G201" s="2" t="str">
        <f>IF(F201&gt;D201,"Yes","No")</f>
        <v>Yes</v>
      </c>
    </row>
    <row r="202" spans="1:7" x14ac:dyDescent="0.35">
      <c r="A202" s="2" t="s">
        <v>317</v>
      </c>
      <c r="B202" s="2" t="s">
        <v>10</v>
      </c>
      <c r="C202" s="3">
        <v>43371</v>
      </c>
      <c r="D202">
        <v>125</v>
      </c>
      <c r="E202" s="2" t="s">
        <v>20</v>
      </c>
      <c r="F202" s="2">
        <v>93.58</v>
      </c>
      <c r="G202" s="2" t="str">
        <f>IF(F202&gt;D202,"Yes","No")</f>
        <v>No</v>
      </c>
    </row>
    <row r="203" spans="1:7" x14ac:dyDescent="0.35">
      <c r="A203" s="2" t="s">
        <v>507</v>
      </c>
      <c r="B203" s="2" t="s">
        <v>508</v>
      </c>
      <c r="C203" s="3">
        <v>44132</v>
      </c>
      <c r="D203">
        <v>104</v>
      </c>
      <c r="E203" s="2" t="s">
        <v>20</v>
      </c>
      <c r="F203" s="2">
        <v>93.58</v>
      </c>
      <c r="G203" s="2" t="str">
        <f>IF(F203&gt;D203,"Yes","No")</f>
        <v>No</v>
      </c>
    </row>
    <row r="204" spans="1:7" x14ac:dyDescent="0.35">
      <c r="A204" s="2" t="s">
        <v>509</v>
      </c>
      <c r="B204" s="2" t="s">
        <v>510</v>
      </c>
      <c r="C204" s="3">
        <v>43770</v>
      </c>
      <c r="D204">
        <v>85</v>
      </c>
      <c r="E204" s="2" t="s">
        <v>20</v>
      </c>
      <c r="F204" s="2">
        <v>93.58</v>
      </c>
      <c r="G204" s="2" t="str">
        <f>IF(F204&gt;D204,"Yes","No")</f>
        <v>Yes</v>
      </c>
    </row>
    <row r="205" spans="1:7" x14ac:dyDescent="0.35">
      <c r="A205" s="2" t="s">
        <v>146</v>
      </c>
      <c r="B205" s="2" t="s">
        <v>147</v>
      </c>
      <c r="C205" s="3">
        <v>43797</v>
      </c>
      <c r="D205">
        <v>94</v>
      </c>
      <c r="E205" s="2" t="s">
        <v>20</v>
      </c>
      <c r="F205" s="2">
        <v>93.58</v>
      </c>
      <c r="G205" s="2" t="str">
        <f>IF(F205&gt;D205,"Yes","No")</f>
        <v>No</v>
      </c>
    </row>
    <row r="206" spans="1:7" x14ac:dyDescent="0.35">
      <c r="A206" s="2" t="s">
        <v>1046</v>
      </c>
      <c r="B206" s="2" t="s">
        <v>6</v>
      </c>
      <c r="C206" s="3">
        <v>43572</v>
      </c>
      <c r="D206">
        <v>137</v>
      </c>
      <c r="E206" s="2" t="s">
        <v>20</v>
      </c>
      <c r="F206" s="2">
        <v>93.58</v>
      </c>
      <c r="G206" s="2" t="str">
        <f>IF(F206&gt;D206,"Yes","No")</f>
        <v>No</v>
      </c>
    </row>
    <row r="207" spans="1:7" x14ac:dyDescent="0.35">
      <c r="A207" s="2" t="s">
        <v>779</v>
      </c>
      <c r="B207" s="2" t="s">
        <v>6</v>
      </c>
      <c r="C207" s="3">
        <v>44089</v>
      </c>
      <c r="D207">
        <v>80</v>
      </c>
      <c r="E207" s="2" t="s">
        <v>781</v>
      </c>
      <c r="F207" s="2">
        <v>93.58</v>
      </c>
      <c r="G207" s="2" t="str">
        <f>IF(F207&gt;D207,"Yes","No")</f>
        <v>Yes</v>
      </c>
    </row>
    <row r="208" spans="1:7" x14ac:dyDescent="0.35">
      <c r="A208" s="2" t="s">
        <v>452</v>
      </c>
      <c r="B208" s="2" t="s">
        <v>43</v>
      </c>
      <c r="C208" s="3">
        <v>43868</v>
      </c>
      <c r="D208">
        <v>104</v>
      </c>
      <c r="E208" s="2" t="s">
        <v>20</v>
      </c>
      <c r="F208" s="2">
        <v>93.58</v>
      </c>
      <c r="G208" s="2" t="str">
        <f>IF(F208&gt;D208,"Yes","No")</f>
        <v>No</v>
      </c>
    </row>
    <row r="209" spans="1:7" x14ac:dyDescent="0.35">
      <c r="A209" s="2" t="s">
        <v>511</v>
      </c>
      <c r="B209" s="2" t="s">
        <v>6</v>
      </c>
      <c r="C209" s="3">
        <v>42153</v>
      </c>
      <c r="D209">
        <v>84</v>
      </c>
      <c r="E209" s="2" t="s">
        <v>20</v>
      </c>
      <c r="F209" s="2">
        <v>93.58</v>
      </c>
      <c r="G209" s="2" t="str">
        <f>IF(F209&gt;D209,"Yes","No")</f>
        <v>Yes</v>
      </c>
    </row>
    <row r="210" spans="1:7" x14ac:dyDescent="0.35">
      <c r="A210" s="2" t="s">
        <v>278</v>
      </c>
      <c r="B210" s="2" t="s">
        <v>29</v>
      </c>
      <c r="C210" s="3">
        <v>43784</v>
      </c>
      <c r="D210">
        <v>104</v>
      </c>
      <c r="E210" s="2" t="s">
        <v>24</v>
      </c>
      <c r="F210" s="2">
        <v>93.58</v>
      </c>
      <c r="G210" s="2" t="str">
        <f>IF(F210&gt;D210,"Yes","No")</f>
        <v>No</v>
      </c>
    </row>
    <row r="211" spans="1:7" x14ac:dyDescent="0.35">
      <c r="A211" s="2" t="s">
        <v>152</v>
      </c>
      <c r="B211" s="2" t="s">
        <v>153</v>
      </c>
      <c r="C211" s="3">
        <v>43294</v>
      </c>
      <c r="D211">
        <v>113</v>
      </c>
      <c r="E211" s="2" t="s">
        <v>20</v>
      </c>
      <c r="F211" s="2">
        <v>93.58</v>
      </c>
      <c r="G211" s="2" t="str">
        <f>IF(F211&gt;D211,"Yes","No")</f>
        <v>No</v>
      </c>
    </row>
    <row r="212" spans="1:7" x14ac:dyDescent="0.35">
      <c r="A212" s="2" t="s">
        <v>198</v>
      </c>
      <c r="B212" s="2" t="s">
        <v>29</v>
      </c>
      <c r="C212" s="3">
        <v>44111</v>
      </c>
      <c r="D212">
        <v>103</v>
      </c>
      <c r="E212" s="2" t="s">
        <v>20</v>
      </c>
      <c r="F212" s="2">
        <v>93.58</v>
      </c>
      <c r="G212" s="2" t="str">
        <f>IF(F212&gt;D212,"Yes","No")</f>
        <v>No</v>
      </c>
    </row>
    <row r="213" spans="1:7" x14ac:dyDescent="0.35">
      <c r="A213" s="2" t="s">
        <v>401</v>
      </c>
      <c r="B213" s="2" t="s">
        <v>10</v>
      </c>
      <c r="C213" s="3">
        <v>44330</v>
      </c>
      <c r="D213">
        <v>107</v>
      </c>
      <c r="E213" s="2" t="s">
        <v>20</v>
      </c>
      <c r="F213" s="2">
        <v>93.58</v>
      </c>
      <c r="G213" s="2" t="str">
        <f>IF(F213&gt;D213,"Yes","No")</f>
        <v>No</v>
      </c>
    </row>
    <row r="214" spans="1:7" x14ac:dyDescent="0.35">
      <c r="A214" s="2" t="s">
        <v>590</v>
      </c>
      <c r="B214" s="2" t="s">
        <v>47</v>
      </c>
      <c r="C214" s="3">
        <v>43203</v>
      </c>
      <c r="D214">
        <v>98</v>
      </c>
      <c r="E214" s="2" t="s">
        <v>88</v>
      </c>
      <c r="F214" s="2">
        <v>93.58</v>
      </c>
      <c r="G214" s="2" t="str">
        <f>IF(F214&gt;D214,"Yes","No")</f>
        <v>No</v>
      </c>
    </row>
    <row r="215" spans="1:7" x14ac:dyDescent="0.35">
      <c r="A215" s="2" t="s">
        <v>94</v>
      </c>
      <c r="B215" s="2" t="s">
        <v>95</v>
      </c>
      <c r="C215" s="3">
        <v>42671</v>
      </c>
      <c r="D215">
        <v>89</v>
      </c>
      <c r="E215" s="2" t="s">
        <v>20</v>
      </c>
      <c r="F215" s="2">
        <v>93.58</v>
      </c>
      <c r="G215" s="2" t="str">
        <f>IF(F215&gt;D215,"Yes","No")</f>
        <v>Yes</v>
      </c>
    </row>
    <row r="216" spans="1:7" x14ac:dyDescent="0.35">
      <c r="A216" s="2" t="s">
        <v>853</v>
      </c>
      <c r="B216" s="2" t="s">
        <v>43</v>
      </c>
      <c r="C216" s="3">
        <v>42790</v>
      </c>
      <c r="D216">
        <v>96</v>
      </c>
      <c r="E216" s="2" t="s">
        <v>20</v>
      </c>
      <c r="F216" s="2">
        <v>93.58</v>
      </c>
      <c r="G216" s="2" t="str">
        <f>IF(F216&gt;D216,"Yes","No")</f>
        <v>No</v>
      </c>
    </row>
    <row r="217" spans="1:7" x14ac:dyDescent="0.35">
      <c r="A217" s="2" t="s">
        <v>200</v>
      </c>
      <c r="B217" s="2" t="s">
        <v>29</v>
      </c>
      <c r="C217" s="3">
        <v>43245</v>
      </c>
      <c r="D217">
        <v>94</v>
      </c>
      <c r="E217" s="2" t="s">
        <v>20</v>
      </c>
      <c r="F217" s="2">
        <v>93.58</v>
      </c>
      <c r="G217" s="2" t="str">
        <f>IF(F217&gt;D217,"Yes","No")</f>
        <v>No</v>
      </c>
    </row>
    <row r="218" spans="1:7" x14ac:dyDescent="0.35">
      <c r="A218" s="2" t="s">
        <v>472</v>
      </c>
      <c r="B218" s="2" t="s">
        <v>397</v>
      </c>
      <c r="C218" s="3">
        <v>42762</v>
      </c>
      <c r="D218">
        <v>90</v>
      </c>
      <c r="E218" s="2" t="s">
        <v>20</v>
      </c>
      <c r="F218" s="2">
        <v>93.58</v>
      </c>
      <c r="G218" s="2" t="str">
        <f>IF(F218&gt;D218,"Yes","No")</f>
        <v>Yes</v>
      </c>
    </row>
    <row r="219" spans="1:7" x14ac:dyDescent="0.35">
      <c r="A219" s="2" t="s">
        <v>1093</v>
      </c>
      <c r="B219" s="2" t="s">
        <v>6</v>
      </c>
      <c r="C219" s="3">
        <v>42951</v>
      </c>
      <c r="D219">
        <v>120</v>
      </c>
      <c r="E219" s="2" t="s">
        <v>20</v>
      </c>
      <c r="F219" s="2">
        <v>93.58</v>
      </c>
      <c r="G219" s="2" t="str">
        <f>IF(F219&gt;D219,"Yes","No")</f>
        <v>No</v>
      </c>
    </row>
    <row r="220" spans="1:7" x14ac:dyDescent="0.35">
      <c r="A220" s="2" t="s">
        <v>1088</v>
      </c>
      <c r="B220" s="2" t="s">
        <v>693</v>
      </c>
      <c r="C220" s="3">
        <v>44155</v>
      </c>
      <c r="D220">
        <v>12</v>
      </c>
      <c r="E220" s="2" t="s">
        <v>20</v>
      </c>
      <c r="F220" s="2">
        <v>93.58</v>
      </c>
      <c r="G220" s="2" t="str">
        <f>IF(F220&gt;D220,"Yes","No")</f>
        <v>Yes</v>
      </c>
    </row>
    <row r="221" spans="1:7" x14ac:dyDescent="0.35">
      <c r="A221" s="2" t="s">
        <v>741</v>
      </c>
      <c r="B221" s="2" t="s">
        <v>6</v>
      </c>
      <c r="C221" s="3">
        <v>42601</v>
      </c>
      <c r="D221">
        <v>79</v>
      </c>
      <c r="E221" s="2" t="s">
        <v>20</v>
      </c>
      <c r="F221" s="2">
        <v>93.58</v>
      </c>
      <c r="G221" s="2" t="str">
        <f>IF(F221&gt;D221,"Yes","No")</f>
        <v>Yes</v>
      </c>
    </row>
    <row r="222" spans="1:7" x14ac:dyDescent="0.35">
      <c r="A222" s="2" t="s">
        <v>992</v>
      </c>
      <c r="B222" s="2" t="s">
        <v>43</v>
      </c>
      <c r="C222" s="3">
        <v>43978</v>
      </c>
      <c r="D222">
        <v>105</v>
      </c>
      <c r="E222" s="2" t="s">
        <v>12</v>
      </c>
      <c r="F222" s="2">
        <v>93.58</v>
      </c>
      <c r="G222" s="2" t="str">
        <f>IF(F222&gt;D222,"Yes","No")</f>
        <v>No</v>
      </c>
    </row>
    <row r="223" spans="1:7" x14ac:dyDescent="0.35">
      <c r="A223" s="2" t="s">
        <v>876</v>
      </c>
      <c r="B223" s="2" t="s">
        <v>180</v>
      </c>
      <c r="C223" s="3">
        <v>44138</v>
      </c>
      <c r="D223">
        <v>14</v>
      </c>
      <c r="E223" s="2" t="s">
        <v>20</v>
      </c>
      <c r="F223" s="2">
        <v>93.58</v>
      </c>
      <c r="G223" s="2" t="str">
        <f>IF(F223&gt;D223,"Yes","No")</f>
        <v>Yes</v>
      </c>
    </row>
    <row r="224" spans="1:7" x14ac:dyDescent="0.35">
      <c r="A224" s="2" t="s">
        <v>743</v>
      </c>
      <c r="B224" s="2" t="s">
        <v>375</v>
      </c>
      <c r="C224" s="3">
        <v>44078</v>
      </c>
      <c r="D224">
        <v>134</v>
      </c>
      <c r="E224" s="2" t="s">
        <v>20</v>
      </c>
      <c r="F224" s="2">
        <v>93.58</v>
      </c>
      <c r="G224" s="2" t="str">
        <f>IF(F224&gt;D224,"Yes","No")</f>
        <v>No</v>
      </c>
    </row>
    <row r="225" spans="1:7" x14ac:dyDescent="0.35">
      <c r="A225" s="2" t="s">
        <v>782</v>
      </c>
      <c r="B225" s="2" t="s">
        <v>43</v>
      </c>
      <c r="C225" s="3">
        <v>42769</v>
      </c>
      <c r="D225">
        <v>87</v>
      </c>
      <c r="E225" s="2" t="s">
        <v>20</v>
      </c>
      <c r="F225" s="2">
        <v>93.58</v>
      </c>
      <c r="G225" s="2" t="str">
        <f>IF(F225&gt;D225,"Yes","No")</f>
        <v>Yes</v>
      </c>
    </row>
    <row r="226" spans="1:7" x14ac:dyDescent="0.35">
      <c r="A226" s="2" t="s">
        <v>553</v>
      </c>
      <c r="B226" s="2" t="s">
        <v>10</v>
      </c>
      <c r="C226" s="3">
        <v>43735</v>
      </c>
      <c r="D226">
        <v>115</v>
      </c>
      <c r="E226" s="2" t="s">
        <v>20</v>
      </c>
      <c r="F226" s="2">
        <v>93.58</v>
      </c>
      <c r="G226" s="2" t="str">
        <f>IF(F226&gt;D226,"Yes","No")</f>
        <v>No</v>
      </c>
    </row>
    <row r="227" spans="1:7" x14ac:dyDescent="0.35">
      <c r="A227" s="2" t="s">
        <v>253</v>
      </c>
      <c r="B227" s="2" t="s">
        <v>95</v>
      </c>
      <c r="C227" s="3">
        <v>43742</v>
      </c>
      <c r="D227">
        <v>101</v>
      </c>
      <c r="E227" s="2" t="s">
        <v>20</v>
      </c>
      <c r="F227" s="2">
        <v>93.58</v>
      </c>
      <c r="G227" s="2" t="str">
        <f>IF(F227&gt;D227,"Yes","No")</f>
        <v>No</v>
      </c>
    </row>
    <row r="228" spans="1:7" x14ac:dyDescent="0.35">
      <c r="A228" s="2" t="s">
        <v>955</v>
      </c>
      <c r="B228" s="2" t="s">
        <v>6</v>
      </c>
      <c r="C228" s="3">
        <v>42671</v>
      </c>
      <c r="D228">
        <v>107</v>
      </c>
      <c r="E228" s="2" t="s">
        <v>20</v>
      </c>
      <c r="F228" s="2">
        <v>93.58</v>
      </c>
      <c r="G228" s="2" t="str">
        <f>IF(F228&gt;D228,"Yes","No")</f>
        <v>No</v>
      </c>
    </row>
    <row r="229" spans="1:7" x14ac:dyDescent="0.35">
      <c r="A229" s="2" t="s">
        <v>227</v>
      </c>
      <c r="B229" s="2" t="s">
        <v>10</v>
      </c>
      <c r="C229" s="3">
        <v>43979</v>
      </c>
      <c r="D229">
        <v>116</v>
      </c>
      <c r="E229" s="2" t="s">
        <v>12</v>
      </c>
      <c r="F229" s="2">
        <v>93.58</v>
      </c>
      <c r="G229" s="2" t="str">
        <f>IF(F229&gt;D229,"Yes","No")</f>
        <v>No</v>
      </c>
    </row>
    <row r="230" spans="1:7" x14ac:dyDescent="0.35">
      <c r="A230" s="2" t="s">
        <v>1048</v>
      </c>
      <c r="B230" s="2" t="s">
        <v>1049</v>
      </c>
      <c r="C230" s="3">
        <v>43693</v>
      </c>
      <c r="D230">
        <v>71</v>
      </c>
      <c r="E230" s="2" t="s">
        <v>20</v>
      </c>
      <c r="F230" s="2">
        <v>93.58</v>
      </c>
      <c r="G230" s="2" t="str">
        <f>IF(F230&gt;D230,"Yes","No")</f>
        <v>Yes</v>
      </c>
    </row>
    <row r="231" spans="1:7" x14ac:dyDescent="0.35">
      <c r="A231" s="2" t="s">
        <v>112</v>
      </c>
      <c r="B231" s="2" t="s">
        <v>14</v>
      </c>
      <c r="C231" s="3">
        <v>43483</v>
      </c>
      <c r="D231">
        <v>95</v>
      </c>
      <c r="E231" s="2" t="s">
        <v>20</v>
      </c>
      <c r="F231" s="2">
        <v>93.58</v>
      </c>
      <c r="G231" s="2" t="str">
        <f>IF(F231&gt;D231,"Yes","No")</f>
        <v>No</v>
      </c>
    </row>
    <row r="232" spans="1:7" x14ac:dyDescent="0.35">
      <c r="A232" s="2" t="s">
        <v>642</v>
      </c>
      <c r="B232" s="2" t="s">
        <v>43</v>
      </c>
      <c r="C232" s="3">
        <v>43147</v>
      </c>
      <c r="D232">
        <v>96</v>
      </c>
      <c r="E232" s="2" t="s">
        <v>20</v>
      </c>
      <c r="F232" s="2">
        <v>93.58</v>
      </c>
      <c r="G232" s="2" t="str">
        <f>IF(F232&gt;D232,"Yes","No")</f>
        <v>No</v>
      </c>
    </row>
    <row r="233" spans="1:7" x14ac:dyDescent="0.35">
      <c r="A233" s="2" t="s">
        <v>644</v>
      </c>
      <c r="B233" s="2" t="s">
        <v>47</v>
      </c>
      <c r="C233" s="3">
        <v>43875</v>
      </c>
      <c r="D233">
        <v>113</v>
      </c>
      <c r="E233" s="2" t="s">
        <v>125</v>
      </c>
      <c r="F233" s="2">
        <v>93.58</v>
      </c>
      <c r="G233" s="2" t="str">
        <f>IF(F233&gt;D233,"Yes","No")</f>
        <v>No</v>
      </c>
    </row>
    <row r="234" spans="1:7" x14ac:dyDescent="0.35">
      <c r="A234" s="2" t="s">
        <v>745</v>
      </c>
      <c r="B234" s="2" t="s">
        <v>6</v>
      </c>
      <c r="C234" s="3">
        <v>43763</v>
      </c>
      <c r="D234">
        <v>126</v>
      </c>
      <c r="E234" s="2" t="s">
        <v>20</v>
      </c>
      <c r="F234" s="2">
        <v>93.58</v>
      </c>
      <c r="G234" s="2" t="str">
        <f>IF(F234&gt;D234,"Yes","No")</f>
        <v>No</v>
      </c>
    </row>
    <row r="235" spans="1:7" x14ac:dyDescent="0.35">
      <c r="A235" s="2" t="s">
        <v>1081</v>
      </c>
      <c r="B235" s="2" t="s">
        <v>6</v>
      </c>
      <c r="C235" s="3">
        <v>43056</v>
      </c>
      <c r="D235">
        <v>94</v>
      </c>
      <c r="E235" s="2" t="s">
        <v>20</v>
      </c>
      <c r="F235" s="2">
        <v>93.58</v>
      </c>
      <c r="G235" s="2" t="str">
        <f>IF(F235&gt;D235,"Yes","No")</f>
        <v>No</v>
      </c>
    </row>
    <row r="236" spans="1:7" x14ac:dyDescent="0.35">
      <c r="A236" s="2" t="s">
        <v>708</v>
      </c>
      <c r="B236" s="2" t="s">
        <v>709</v>
      </c>
      <c r="C236" s="3">
        <v>44148</v>
      </c>
      <c r="D236">
        <v>119</v>
      </c>
      <c r="E236" s="2" t="s">
        <v>20</v>
      </c>
      <c r="F236" s="2">
        <v>93.58</v>
      </c>
      <c r="G236" s="2" t="str">
        <f>IF(F236&gt;D236,"Yes","No")</f>
        <v>No</v>
      </c>
    </row>
    <row r="237" spans="1:7" x14ac:dyDescent="0.35">
      <c r="A237" s="2" t="s">
        <v>1050</v>
      </c>
      <c r="B237" s="2" t="s">
        <v>6</v>
      </c>
      <c r="C237" s="3">
        <v>43035</v>
      </c>
      <c r="D237">
        <v>98</v>
      </c>
      <c r="E237" s="2" t="s">
        <v>20</v>
      </c>
      <c r="F237" s="2">
        <v>93.58</v>
      </c>
      <c r="G237" s="2" t="str">
        <f>IF(F237&gt;D237,"Yes","No")</f>
        <v>No</v>
      </c>
    </row>
    <row r="238" spans="1:7" x14ac:dyDescent="0.35">
      <c r="A238" s="2" t="s">
        <v>1052</v>
      </c>
      <c r="B238" s="2" t="s">
        <v>210</v>
      </c>
      <c r="C238" s="3">
        <v>43823</v>
      </c>
      <c r="D238">
        <v>70</v>
      </c>
      <c r="E238" s="2" t="s">
        <v>20</v>
      </c>
      <c r="F238" s="2">
        <v>93.58</v>
      </c>
      <c r="G238" s="2" t="str">
        <f>IF(F238&gt;D238,"Yes","No")</f>
        <v>Yes</v>
      </c>
    </row>
    <row r="239" spans="1:7" x14ac:dyDescent="0.35">
      <c r="A239" s="2" t="s">
        <v>646</v>
      </c>
      <c r="B239" s="2" t="s">
        <v>6</v>
      </c>
      <c r="C239" s="3">
        <v>44063</v>
      </c>
      <c r="D239">
        <v>16</v>
      </c>
      <c r="E239" s="2" t="s">
        <v>20</v>
      </c>
      <c r="F239" s="2">
        <v>93.58</v>
      </c>
      <c r="G239" s="2" t="str">
        <f>IF(F239&gt;D239,"Yes","No")</f>
        <v>Yes</v>
      </c>
    </row>
    <row r="240" spans="1:7" x14ac:dyDescent="0.35">
      <c r="A240" s="2" t="s">
        <v>925</v>
      </c>
      <c r="B240" s="2" t="s">
        <v>6</v>
      </c>
      <c r="C240" s="3">
        <v>42881</v>
      </c>
      <c r="D240">
        <v>78</v>
      </c>
      <c r="E240" s="2" t="s">
        <v>20</v>
      </c>
      <c r="F240" s="2">
        <v>93.58</v>
      </c>
      <c r="G240" s="2" t="str">
        <f>IF(F240&gt;D240,"Yes","No")</f>
        <v>Yes</v>
      </c>
    </row>
    <row r="241" spans="1:7" x14ac:dyDescent="0.35">
      <c r="A241" s="2" t="s">
        <v>476</v>
      </c>
      <c r="B241" s="2" t="s">
        <v>43</v>
      </c>
      <c r="C241" s="3">
        <v>43532</v>
      </c>
      <c r="D241">
        <v>90</v>
      </c>
      <c r="E241" s="2" t="s">
        <v>20</v>
      </c>
      <c r="F241" s="2">
        <v>93.58</v>
      </c>
      <c r="G241" s="2" t="str">
        <f>IF(F241&gt;D241,"Yes","No")</f>
        <v>Yes</v>
      </c>
    </row>
    <row r="242" spans="1:7" x14ac:dyDescent="0.35">
      <c r="A242" s="2" t="s">
        <v>591</v>
      </c>
      <c r="B242" s="2" t="s">
        <v>43</v>
      </c>
      <c r="C242" s="3">
        <v>44224</v>
      </c>
      <c r="D242">
        <v>90</v>
      </c>
      <c r="E242" s="2" t="s">
        <v>49</v>
      </c>
      <c r="F242" s="2">
        <v>93.58</v>
      </c>
      <c r="G242" s="2" t="str">
        <f>IF(F242&gt;D242,"Yes","No")</f>
        <v>Yes</v>
      </c>
    </row>
    <row r="243" spans="1:7" x14ac:dyDescent="0.35">
      <c r="A243" s="2" t="s">
        <v>784</v>
      </c>
      <c r="B243" s="2" t="s">
        <v>29</v>
      </c>
      <c r="C243" s="3">
        <v>44168</v>
      </c>
      <c r="D243">
        <v>101</v>
      </c>
      <c r="E243" s="2" t="s">
        <v>102</v>
      </c>
      <c r="F243" s="2">
        <v>93.58</v>
      </c>
      <c r="G243" s="2" t="str">
        <f>IF(F243&gt;D243,"Yes","No")</f>
        <v>No</v>
      </c>
    </row>
    <row r="244" spans="1:7" x14ac:dyDescent="0.35">
      <c r="A244" s="2" t="s">
        <v>81</v>
      </c>
      <c r="B244" s="2" t="s">
        <v>47</v>
      </c>
      <c r="C244" s="3">
        <v>44288</v>
      </c>
      <c r="D244">
        <v>97</v>
      </c>
      <c r="E244" s="2" t="s">
        <v>83</v>
      </c>
      <c r="F244" s="2">
        <v>93.58</v>
      </c>
      <c r="G244" s="2" t="str">
        <f>IF(F244&gt;D244,"Yes","No")</f>
        <v>No</v>
      </c>
    </row>
    <row r="245" spans="1:7" x14ac:dyDescent="0.35">
      <c r="A245" s="2" t="s">
        <v>1082</v>
      </c>
      <c r="B245" s="2" t="s">
        <v>631</v>
      </c>
      <c r="C245" s="3">
        <v>42655</v>
      </c>
      <c r="D245">
        <v>90</v>
      </c>
      <c r="E245" s="2" t="s">
        <v>20</v>
      </c>
      <c r="F245" s="2">
        <v>93.58</v>
      </c>
      <c r="G245" s="2" t="str">
        <f>IF(F245&gt;D245,"Yes","No")</f>
        <v>Yes</v>
      </c>
    </row>
    <row r="246" spans="1:7" x14ac:dyDescent="0.35">
      <c r="A246" s="2" t="s">
        <v>21</v>
      </c>
      <c r="B246" s="2" t="s">
        <v>22</v>
      </c>
      <c r="C246" s="3">
        <v>44134</v>
      </c>
      <c r="D246">
        <v>90</v>
      </c>
      <c r="E246" s="2" t="s">
        <v>24</v>
      </c>
      <c r="F246" s="2">
        <v>93.58</v>
      </c>
      <c r="G246" s="2" t="str">
        <f>IF(F246&gt;D246,"Yes","No")</f>
        <v>Yes</v>
      </c>
    </row>
    <row r="247" spans="1:7" x14ac:dyDescent="0.35">
      <c r="A247" s="2" t="s">
        <v>926</v>
      </c>
      <c r="B247" s="2" t="s">
        <v>6</v>
      </c>
      <c r="C247" s="3">
        <v>42265</v>
      </c>
      <c r="D247">
        <v>81</v>
      </c>
      <c r="E247" s="2" t="s">
        <v>20</v>
      </c>
      <c r="F247" s="2">
        <v>93.58</v>
      </c>
      <c r="G247" s="2" t="str">
        <f>IF(F247&gt;D247,"Yes","No")</f>
        <v>Yes</v>
      </c>
    </row>
    <row r="248" spans="1:7" x14ac:dyDescent="0.35">
      <c r="A248" s="2" t="s">
        <v>280</v>
      </c>
      <c r="B248" s="2" t="s">
        <v>210</v>
      </c>
      <c r="C248" s="3">
        <v>43504</v>
      </c>
      <c r="D248">
        <v>63</v>
      </c>
      <c r="E248" s="2" t="s">
        <v>20</v>
      </c>
      <c r="F248" s="2">
        <v>93.58</v>
      </c>
      <c r="G248" s="2" t="str">
        <f>IF(F248&gt;D248,"Yes","No")</f>
        <v>Yes</v>
      </c>
    </row>
    <row r="249" spans="1:7" x14ac:dyDescent="0.35">
      <c r="A249" s="2" t="s">
        <v>878</v>
      </c>
      <c r="B249" s="2" t="s">
        <v>6</v>
      </c>
      <c r="C249" s="3">
        <v>43021</v>
      </c>
      <c r="D249">
        <v>109</v>
      </c>
      <c r="E249" s="2" t="s">
        <v>20</v>
      </c>
      <c r="F249" s="2">
        <v>93.58</v>
      </c>
      <c r="G249" s="2" t="str">
        <f>IF(F249&gt;D249,"Yes","No")</f>
        <v>No</v>
      </c>
    </row>
    <row r="250" spans="1:7" x14ac:dyDescent="0.35">
      <c r="A250" s="2" t="s">
        <v>1107</v>
      </c>
      <c r="B250" s="2" t="s">
        <v>1108</v>
      </c>
      <c r="C250" s="3">
        <v>43784</v>
      </c>
      <c r="D250">
        <v>97</v>
      </c>
      <c r="E250" s="2" t="s">
        <v>20</v>
      </c>
      <c r="F250" s="2">
        <v>93.58</v>
      </c>
      <c r="G250" s="2" t="str">
        <f>IF(F250&gt;D250,"Yes","No")</f>
        <v>No</v>
      </c>
    </row>
    <row r="251" spans="1:7" x14ac:dyDescent="0.35">
      <c r="A251" s="2" t="s">
        <v>928</v>
      </c>
      <c r="B251" s="2" t="s">
        <v>6</v>
      </c>
      <c r="C251" s="3">
        <v>43586</v>
      </c>
      <c r="D251">
        <v>87</v>
      </c>
      <c r="E251" s="2" t="s">
        <v>20</v>
      </c>
      <c r="F251" s="2">
        <v>93.58</v>
      </c>
      <c r="G251" s="2" t="str">
        <f>IF(F251&gt;D251,"Yes","No")</f>
        <v>Yes</v>
      </c>
    </row>
    <row r="252" spans="1:7" x14ac:dyDescent="0.35">
      <c r="A252" s="2" t="s">
        <v>956</v>
      </c>
      <c r="B252" s="2" t="s">
        <v>6</v>
      </c>
      <c r="C252" s="3">
        <v>43931</v>
      </c>
      <c r="D252">
        <v>92</v>
      </c>
      <c r="E252" s="2" t="s">
        <v>20</v>
      </c>
      <c r="F252" s="2">
        <v>93.58</v>
      </c>
      <c r="G252" s="2" t="str">
        <f>IF(F252&gt;D252,"Yes","No")</f>
        <v>Yes</v>
      </c>
    </row>
    <row r="253" spans="1:7" x14ac:dyDescent="0.35">
      <c r="A253" s="2" t="s">
        <v>957</v>
      </c>
      <c r="B253" s="2" t="s">
        <v>6</v>
      </c>
      <c r="C253" s="3">
        <v>43167</v>
      </c>
      <c r="D253">
        <v>39</v>
      </c>
      <c r="E253" s="2" t="s">
        <v>959</v>
      </c>
      <c r="F253" s="2">
        <v>93.58</v>
      </c>
      <c r="G253" s="2" t="str">
        <f>IF(F253&gt;D253,"Yes","No")</f>
        <v>Yes</v>
      </c>
    </row>
    <row r="254" spans="1:7" x14ac:dyDescent="0.35">
      <c r="A254" s="2" t="s">
        <v>855</v>
      </c>
      <c r="B254" s="2" t="s">
        <v>6</v>
      </c>
      <c r="C254" s="3">
        <v>42874</v>
      </c>
      <c r="D254">
        <v>100</v>
      </c>
      <c r="E254" s="2" t="s">
        <v>102</v>
      </c>
      <c r="F254" s="2">
        <v>93.58</v>
      </c>
      <c r="G254" s="2" t="str">
        <f>IF(F254&gt;D254,"Yes","No")</f>
        <v>No</v>
      </c>
    </row>
    <row r="255" spans="1:7" x14ac:dyDescent="0.35">
      <c r="A255" s="2" t="s">
        <v>648</v>
      </c>
      <c r="B255" s="2" t="s">
        <v>172</v>
      </c>
      <c r="C255" s="3">
        <v>44238</v>
      </c>
      <c r="D255">
        <v>119</v>
      </c>
      <c r="E255" s="2" t="s">
        <v>49</v>
      </c>
      <c r="F255" s="2">
        <v>93.58</v>
      </c>
      <c r="G255" s="2" t="str">
        <f>IF(F255&gt;D255,"Yes","No")</f>
        <v>No</v>
      </c>
    </row>
    <row r="256" spans="1:7" x14ac:dyDescent="0.35">
      <c r="A256" s="2" t="s">
        <v>402</v>
      </c>
      <c r="B256" s="2" t="s">
        <v>47</v>
      </c>
      <c r="C256" s="3">
        <v>43777</v>
      </c>
      <c r="D256">
        <v>92</v>
      </c>
      <c r="E256" s="2" t="s">
        <v>20</v>
      </c>
      <c r="F256" s="2">
        <v>93.58</v>
      </c>
      <c r="G256" s="2" t="str">
        <f>IF(F256&gt;D256,"Yes","No")</f>
        <v>Yes</v>
      </c>
    </row>
    <row r="257" spans="1:7" x14ac:dyDescent="0.35">
      <c r="A257" s="2" t="s">
        <v>28</v>
      </c>
      <c r="B257" s="2" t="s">
        <v>29</v>
      </c>
      <c r="C257" s="3">
        <v>44169</v>
      </c>
      <c r="D257">
        <v>112</v>
      </c>
      <c r="E257" s="2" t="s">
        <v>31</v>
      </c>
      <c r="F257" s="2">
        <v>93.58</v>
      </c>
      <c r="G257" s="2" t="str">
        <f>IF(F257&gt;D257,"Yes","No")</f>
        <v>No</v>
      </c>
    </row>
    <row r="258" spans="1:7" x14ac:dyDescent="0.35">
      <c r="A258" s="2" t="s">
        <v>711</v>
      </c>
      <c r="B258" s="2" t="s">
        <v>6</v>
      </c>
      <c r="C258" s="3">
        <v>43630</v>
      </c>
      <c r="D258">
        <v>40</v>
      </c>
      <c r="E258" s="2" t="s">
        <v>712</v>
      </c>
      <c r="F258" s="2">
        <v>93.58</v>
      </c>
      <c r="G258" s="2" t="str">
        <f>IF(F258&gt;D258,"Yes","No")</f>
        <v>Yes</v>
      </c>
    </row>
    <row r="259" spans="1:7" x14ac:dyDescent="0.35">
      <c r="A259" s="2" t="s">
        <v>513</v>
      </c>
      <c r="B259" s="2" t="s">
        <v>29</v>
      </c>
      <c r="C259" s="3">
        <v>43315</v>
      </c>
      <c r="D259">
        <v>103</v>
      </c>
      <c r="E259" s="2" t="s">
        <v>20</v>
      </c>
      <c r="F259" s="2">
        <v>93.58</v>
      </c>
      <c r="G259" s="2" t="str">
        <f>IF(F259&gt;D259,"Yes","No")</f>
        <v>No</v>
      </c>
    </row>
    <row r="260" spans="1:7" x14ac:dyDescent="0.35">
      <c r="A260" s="2" t="s">
        <v>358</v>
      </c>
      <c r="B260" s="2" t="s">
        <v>29</v>
      </c>
      <c r="C260" s="3">
        <v>43469</v>
      </c>
      <c r="D260">
        <v>94</v>
      </c>
      <c r="E260" s="2" t="s">
        <v>20</v>
      </c>
      <c r="F260" s="2">
        <v>93.58</v>
      </c>
      <c r="G260" s="2" t="str">
        <f>IF(F260&gt;D260,"Yes","No")</f>
        <v>No</v>
      </c>
    </row>
    <row r="261" spans="1:7" x14ac:dyDescent="0.35">
      <c r="A261" s="2" t="s">
        <v>360</v>
      </c>
      <c r="B261" s="2" t="s">
        <v>361</v>
      </c>
      <c r="C261" s="3">
        <v>42979</v>
      </c>
      <c r="D261">
        <v>94</v>
      </c>
      <c r="E261" s="2" t="s">
        <v>20</v>
      </c>
      <c r="F261" s="2">
        <v>93.58</v>
      </c>
      <c r="G261" s="2" t="str">
        <f>IF(F261&gt;D261,"Yes","No")</f>
        <v>No</v>
      </c>
    </row>
    <row r="262" spans="1:7" x14ac:dyDescent="0.35">
      <c r="A262" s="2" t="s">
        <v>786</v>
      </c>
      <c r="B262" s="2" t="s">
        <v>6</v>
      </c>
      <c r="C262" s="3">
        <v>43766</v>
      </c>
      <c r="D262">
        <v>19</v>
      </c>
      <c r="E262" s="2" t="s">
        <v>293</v>
      </c>
      <c r="F262" s="2">
        <v>93.58</v>
      </c>
      <c r="G262" s="2" t="str">
        <f>IF(F262&gt;D262,"Yes","No")</f>
        <v>Yes</v>
      </c>
    </row>
    <row r="263" spans="1:7" x14ac:dyDescent="0.35">
      <c r="A263" s="2" t="s">
        <v>818</v>
      </c>
      <c r="B263" s="2" t="s">
        <v>29</v>
      </c>
      <c r="C263" s="3">
        <v>43315</v>
      </c>
      <c r="D263">
        <v>105</v>
      </c>
      <c r="E263" s="2" t="s">
        <v>24</v>
      </c>
      <c r="F263" s="2">
        <v>93.58</v>
      </c>
      <c r="G263" s="2" t="str">
        <f>IF(F263&gt;D263,"Yes","No")</f>
        <v>No</v>
      </c>
    </row>
    <row r="264" spans="1:7" x14ac:dyDescent="0.35">
      <c r="A264" s="2" t="s">
        <v>1025</v>
      </c>
      <c r="B264" s="2" t="s">
        <v>6</v>
      </c>
      <c r="C264" s="3">
        <v>43007</v>
      </c>
      <c r="D264">
        <v>40</v>
      </c>
      <c r="E264" s="2" t="s">
        <v>20</v>
      </c>
      <c r="F264" s="2">
        <v>93.58</v>
      </c>
      <c r="G264" s="2" t="str">
        <f>IF(F264&gt;D264,"Yes","No")</f>
        <v>Yes</v>
      </c>
    </row>
    <row r="265" spans="1:7" x14ac:dyDescent="0.35">
      <c r="A265" s="2" t="s">
        <v>879</v>
      </c>
      <c r="B265" s="2" t="s">
        <v>6</v>
      </c>
      <c r="C265" s="3">
        <v>43789</v>
      </c>
      <c r="D265">
        <v>28</v>
      </c>
      <c r="E265" s="2" t="s">
        <v>12</v>
      </c>
      <c r="F265" s="2">
        <v>93.58</v>
      </c>
      <c r="G265" s="2" t="str">
        <f>IF(F265&gt;D265,"Yes","No")</f>
        <v>Yes</v>
      </c>
    </row>
    <row r="266" spans="1:7" x14ac:dyDescent="0.35">
      <c r="A266" s="2" t="s">
        <v>880</v>
      </c>
      <c r="B266" s="2" t="s">
        <v>6</v>
      </c>
      <c r="C266" s="3">
        <v>43723</v>
      </c>
      <c r="D266">
        <v>64</v>
      </c>
      <c r="E266" s="2" t="s">
        <v>12</v>
      </c>
      <c r="F266" s="2">
        <v>93.58</v>
      </c>
      <c r="G266" s="2" t="str">
        <f>IF(F266&gt;D266,"Yes","No")</f>
        <v>Yes</v>
      </c>
    </row>
    <row r="267" spans="1:7" x14ac:dyDescent="0.35">
      <c r="A267" s="2" t="s">
        <v>555</v>
      </c>
      <c r="B267" s="2" t="s">
        <v>10</v>
      </c>
      <c r="C267" s="3">
        <v>44001</v>
      </c>
      <c r="D267">
        <v>92</v>
      </c>
      <c r="E267" s="2" t="s">
        <v>88</v>
      </c>
      <c r="F267" s="2">
        <v>93.58</v>
      </c>
      <c r="G267" s="2" t="str">
        <f>IF(F267&gt;D267,"Yes","No")</f>
        <v>Yes</v>
      </c>
    </row>
    <row r="268" spans="1:7" x14ac:dyDescent="0.35">
      <c r="A268" s="2" t="s">
        <v>515</v>
      </c>
      <c r="B268" s="2" t="s">
        <v>287</v>
      </c>
      <c r="C268" s="3">
        <v>43903</v>
      </c>
      <c r="D268">
        <v>95</v>
      </c>
      <c r="E268" s="2" t="s">
        <v>20</v>
      </c>
      <c r="F268" s="2">
        <v>93.58</v>
      </c>
      <c r="G268" s="2" t="str">
        <f>IF(F268&gt;D268,"Yes","No")</f>
        <v>No</v>
      </c>
    </row>
    <row r="269" spans="1:7" x14ac:dyDescent="0.35">
      <c r="A269" s="2" t="s">
        <v>930</v>
      </c>
      <c r="B269" s="2" t="s">
        <v>414</v>
      </c>
      <c r="C269" s="3">
        <v>43417</v>
      </c>
      <c r="D269">
        <v>91</v>
      </c>
      <c r="E269" s="2" t="s">
        <v>20</v>
      </c>
      <c r="F269" s="2">
        <v>93.58</v>
      </c>
      <c r="G269" s="2" t="str">
        <f>IF(F269&gt;D269,"Yes","No")</f>
        <v>Yes</v>
      </c>
    </row>
    <row r="270" spans="1:7" x14ac:dyDescent="0.35">
      <c r="A270" s="2" t="s">
        <v>155</v>
      </c>
      <c r="B270" s="2" t="s">
        <v>43</v>
      </c>
      <c r="C270" s="3">
        <v>44119</v>
      </c>
      <c r="D270">
        <v>86</v>
      </c>
      <c r="E270" s="2" t="s">
        <v>49</v>
      </c>
      <c r="F270" s="2">
        <v>93.58</v>
      </c>
      <c r="G270" s="2" t="str">
        <f>IF(F270&gt;D270,"Yes","No")</f>
        <v>Yes</v>
      </c>
    </row>
    <row r="271" spans="1:7" x14ac:dyDescent="0.35">
      <c r="A271" s="2" t="s">
        <v>960</v>
      </c>
      <c r="B271" s="2" t="s">
        <v>47</v>
      </c>
      <c r="C271" s="3">
        <v>43145</v>
      </c>
      <c r="D271">
        <v>133</v>
      </c>
      <c r="E271" s="2" t="s">
        <v>24</v>
      </c>
      <c r="F271" s="2">
        <v>93.58</v>
      </c>
      <c r="G271" s="2" t="str">
        <f>IF(F271&gt;D271,"Yes","No")</f>
        <v>No</v>
      </c>
    </row>
    <row r="272" spans="1:7" x14ac:dyDescent="0.35">
      <c r="A272" s="2" t="s">
        <v>282</v>
      </c>
      <c r="B272" s="2" t="s">
        <v>47</v>
      </c>
      <c r="C272" s="3">
        <v>43931</v>
      </c>
      <c r="D272">
        <v>100</v>
      </c>
      <c r="E272" s="2" t="s">
        <v>20</v>
      </c>
      <c r="F272" s="2">
        <v>93.58</v>
      </c>
      <c r="G272" s="2" t="str">
        <f>IF(F272&gt;D272,"Yes","No")</f>
        <v>No</v>
      </c>
    </row>
    <row r="273" spans="1:7" x14ac:dyDescent="0.35">
      <c r="A273" s="2" t="s">
        <v>319</v>
      </c>
      <c r="B273" s="2" t="s">
        <v>47</v>
      </c>
      <c r="C273" s="3">
        <v>44077</v>
      </c>
      <c r="D273">
        <v>91</v>
      </c>
      <c r="E273" s="2" t="s">
        <v>20</v>
      </c>
      <c r="F273" s="2">
        <v>93.58</v>
      </c>
      <c r="G273" s="2" t="str">
        <f>IF(F273&gt;D273,"Yes","No")</f>
        <v>Yes</v>
      </c>
    </row>
    <row r="274" spans="1:7" x14ac:dyDescent="0.35">
      <c r="A274" s="2" t="s">
        <v>474</v>
      </c>
      <c r="B274" s="2" t="s">
        <v>43</v>
      </c>
      <c r="C274" s="3">
        <v>43686</v>
      </c>
      <c r="D274">
        <v>106</v>
      </c>
      <c r="E274" s="2" t="s">
        <v>24</v>
      </c>
      <c r="F274" s="2">
        <v>93.58</v>
      </c>
      <c r="G274" s="2" t="str">
        <f>IF(F274&gt;D274,"Yes","No")</f>
        <v>No</v>
      </c>
    </row>
    <row r="275" spans="1:7" x14ac:dyDescent="0.35">
      <c r="A275" s="2" t="s">
        <v>1058</v>
      </c>
      <c r="B275" s="2" t="s">
        <v>1059</v>
      </c>
      <c r="C275" s="3">
        <v>44147</v>
      </c>
      <c r="D275">
        <v>149</v>
      </c>
      <c r="E275" s="2" t="s">
        <v>24</v>
      </c>
      <c r="F275" s="2">
        <v>93.58</v>
      </c>
      <c r="G275" s="2" t="str">
        <f>IF(F275&gt;D275,"Yes","No")</f>
        <v>No</v>
      </c>
    </row>
    <row r="276" spans="1:7" x14ac:dyDescent="0.35">
      <c r="A276" s="2" t="s">
        <v>713</v>
      </c>
      <c r="B276" s="2" t="s">
        <v>43</v>
      </c>
      <c r="C276" s="3">
        <v>43266</v>
      </c>
      <c r="D276">
        <v>120</v>
      </c>
      <c r="E276" s="2" t="s">
        <v>24</v>
      </c>
      <c r="F276" s="2">
        <v>93.58</v>
      </c>
      <c r="G276" s="2" t="str">
        <f>IF(F276&gt;D276,"Yes","No")</f>
        <v>No</v>
      </c>
    </row>
    <row r="277" spans="1:7" x14ac:dyDescent="0.35">
      <c r="A277" s="2" t="s">
        <v>882</v>
      </c>
      <c r="B277" s="2" t="s">
        <v>43</v>
      </c>
      <c r="C277" s="3">
        <v>44183</v>
      </c>
      <c r="D277">
        <v>94</v>
      </c>
      <c r="E277" s="2" t="s">
        <v>20</v>
      </c>
      <c r="F277" s="2">
        <v>93.58</v>
      </c>
      <c r="G277" s="2" t="str">
        <f>IF(F277&gt;D277,"Yes","No")</f>
        <v>No</v>
      </c>
    </row>
    <row r="278" spans="1:7" x14ac:dyDescent="0.35">
      <c r="A278" s="2" t="s">
        <v>884</v>
      </c>
      <c r="B278" s="2" t="s">
        <v>180</v>
      </c>
      <c r="C278" s="3">
        <v>44183</v>
      </c>
      <c r="D278">
        <v>31</v>
      </c>
      <c r="E278" s="2" t="s">
        <v>20</v>
      </c>
      <c r="F278" s="2">
        <v>93.58</v>
      </c>
      <c r="G278" s="2" t="str">
        <f>IF(F278&gt;D278,"Yes","No")</f>
        <v>Yes</v>
      </c>
    </row>
    <row r="279" spans="1:7" x14ac:dyDescent="0.35">
      <c r="A279" s="2" t="s">
        <v>255</v>
      </c>
      <c r="B279" s="2" t="s">
        <v>43</v>
      </c>
      <c r="C279" s="3">
        <v>44288</v>
      </c>
      <c r="D279">
        <v>112</v>
      </c>
      <c r="E279" s="2" t="s">
        <v>88</v>
      </c>
      <c r="F279" s="2">
        <v>93.58</v>
      </c>
      <c r="G279" s="2" t="str">
        <f>IF(F279&gt;D279,"Yes","No")</f>
        <v>No</v>
      </c>
    </row>
    <row r="280" spans="1:7" x14ac:dyDescent="0.35">
      <c r="A280" s="2" t="s">
        <v>787</v>
      </c>
      <c r="B280" s="2" t="s">
        <v>172</v>
      </c>
      <c r="C280" s="3">
        <v>44232</v>
      </c>
      <c r="D280">
        <v>106</v>
      </c>
      <c r="E280" s="2" t="s">
        <v>20</v>
      </c>
      <c r="F280" s="2">
        <v>93.58</v>
      </c>
      <c r="G280" s="2" t="str">
        <f>IF(F280&gt;D280,"Yes","No")</f>
        <v>No</v>
      </c>
    </row>
    <row r="281" spans="1:7" x14ac:dyDescent="0.35">
      <c r="A281" s="2" t="s">
        <v>857</v>
      </c>
      <c r="B281" s="2" t="s">
        <v>391</v>
      </c>
      <c r="C281" s="3">
        <v>44169</v>
      </c>
      <c r="D281">
        <v>132</v>
      </c>
      <c r="E281" s="2" t="s">
        <v>20</v>
      </c>
      <c r="F281" s="2">
        <v>93.58</v>
      </c>
      <c r="G281" s="2" t="str">
        <f>IF(F281&gt;D281,"Yes","No")</f>
        <v>No</v>
      </c>
    </row>
    <row r="282" spans="1:7" x14ac:dyDescent="0.35">
      <c r="A282" s="2" t="s">
        <v>1095</v>
      </c>
      <c r="B282" s="2" t="s">
        <v>43</v>
      </c>
      <c r="C282" s="3">
        <v>43805</v>
      </c>
      <c r="D282">
        <v>136</v>
      </c>
      <c r="E282" s="2" t="s">
        <v>20</v>
      </c>
      <c r="F282" s="2">
        <v>93.58</v>
      </c>
      <c r="G282" s="2" t="str">
        <f>IF(F282&gt;D282,"Yes","No")</f>
        <v>No</v>
      </c>
    </row>
    <row r="283" spans="1:7" x14ac:dyDescent="0.35">
      <c r="A283" s="2" t="s">
        <v>404</v>
      </c>
      <c r="B283" s="2" t="s">
        <v>405</v>
      </c>
      <c r="C283" s="3">
        <v>42656</v>
      </c>
      <c r="D283">
        <v>95</v>
      </c>
      <c r="E283" s="2" t="s">
        <v>20</v>
      </c>
      <c r="F283" s="2">
        <v>93.58</v>
      </c>
      <c r="G283" s="2" t="str">
        <f>IF(F283&gt;D283,"Yes","No")</f>
        <v>No</v>
      </c>
    </row>
    <row r="284" spans="1:7" x14ac:dyDescent="0.35">
      <c r="A284" s="2" t="s">
        <v>455</v>
      </c>
      <c r="B284" s="2" t="s">
        <v>47</v>
      </c>
      <c r="C284" s="3">
        <v>43917</v>
      </c>
      <c r="D284">
        <v>111</v>
      </c>
      <c r="E284" s="2" t="s">
        <v>24</v>
      </c>
      <c r="F284" s="2">
        <v>93.58</v>
      </c>
      <c r="G284" s="2" t="str">
        <f>IF(F284&gt;D284,"Yes","No")</f>
        <v>No</v>
      </c>
    </row>
    <row r="285" spans="1:7" x14ac:dyDescent="0.35">
      <c r="A285" s="2" t="s">
        <v>828</v>
      </c>
      <c r="B285" s="2" t="s">
        <v>6</v>
      </c>
      <c r="C285" s="3">
        <v>43210</v>
      </c>
      <c r="D285">
        <v>79</v>
      </c>
      <c r="E285" s="2" t="s">
        <v>20</v>
      </c>
      <c r="F285" s="2">
        <v>93.58</v>
      </c>
      <c r="G285" s="2" t="str">
        <f>IF(F285&gt;D285,"Yes","No")</f>
        <v>Yes</v>
      </c>
    </row>
    <row r="286" spans="1:7" x14ac:dyDescent="0.35">
      <c r="A286" s="2" t="s">
        <v>54</v>
      </c>
      <c r="B286" s="2" t="s">
        <v>10</v>
      </c>
      <c r="C286" s="3">
        <v>42696</v>
      </c>
      <c r="D286">
        <v>90</v>
      </c>
      <c r="E286" s="2" t="s">
        <v>20</v>
      </c>
      <c r="F286" s="2">
        <v>93.58</v>
      </c>
      <c r="G286" s="2" t="str">
        <f>IF(F286&gt;D286,"Yes","No")</f>
        <v>Yes</v>
      </c>
    </row>
    <row r="287" spans="1:7" x14ac:dyDescent="0.35">
      <c r="A287" s="2" t="s">
        <v>788</v>
      </c>
      <c r="B287" s="2" t="s">
        <v>789</v>
      </c>
      <c r="C287" s="3">
        <v>42773</v>
      </c>
      <c r="D287">
        <v>54</v>
      </c>
      <c r="E287" s="2" t="s">
        <v>20</v>
      </c>
      <c r="F287" s="2">
        <v>93.58</v>
      </c>
      <c r="G287" s="2" t="str">
        <f>IF(F287&gt;D287,"Yes","No")</f>
        <v>Yes</v>
      </c>
    </row>
    <row r="288" spans="1:7" x14ac:dyDescent="0.35">
      <c r="A288" s="2" t="s">
        <v>746</v>
      </c>
      <c r="B288" s="2" t="s">
        <v>43</v>
      </c>
      <c r="C288" s="3">
        <v>44323</v>
      </c>
      <c r="D288">
        <v>98</v>
      </c>
      <c r="E288" s="2" t="s">
        <v>24</v>
      </c>
      <c r="F288" s="2">
        <v>93.58</v>
      </c>
      <c r="G288" s="2" t="str">
        <f>IF(F288&gt;D288,"Yes","No")</f>
        <v>No</v>
      </c>
    </row>
    <row r="289" spans="1:7" x14ac:dyDescent="0.35">
      <c r="A289" s="2" t="s">
        <v>1026</v>
      </c>
      <c r="B289" s="2" t="s">
        <v>6</v>
      </c>
      <c r="C289" s="3">
        <v>43861</v>
      </c>
      <c r="D289">
        <v>85</v>
      </c>
      <c r="E289" s="2" t="s">
        <v>20</v>
      </c>
      <c r="F289" s="2">
        <v>93.58</v>
      </c>
      <c r="G289" s="2" t="str">
        <f>IF(F289&gt;D289,"Yes","No")</f>
        <v>Yes</v>
      </c>
    </row>
    <row r="290" spans="1:7" x14ac:dyDescent="0.35">
      <c r="A290" s="2" t="s">
        <v>715</v>
      </c>
      <c r="B290" s="2" t="s">
        <v>43</v>
      </c>
      <c r="C290" s="3">
        <v>44323</v>
      </c>
      <c r="D290">
        <v>98</v>
      </c>
      <c r="E290" s="2" t="s">
        <v>20</v>
      </c>
      <c r="F290" s="2">
        <v>93.58</v>
      </c>
      <c r="G290" s="2" t="str">
        <f>IF(F290&gt;D290,"Yes","No")</f>
        <v>No</v>
      </c>
    </row>
    <row r="291" spans="1:7" x14ac:dyDescent="0.35">
      <c r="A291" s="2" t="s">
        <v>717</v>
      </c>
      <c r="B291" s="2" t="s">
        <v>520</v>
      </c>
      <c r="C291" s="3">
        <v>43441</v>
      </c>
      <c r="D291">
        <v>104</v>
      </c>
      <c r="E291" s="2" t="s">
        <v>20</v>
      </c>
      <c r="F291" s="2">
        <v>93.58</v>
      </c>
      <c r="G291" s="2" t="str">
        <f>IF(F291&gt;D291,"Yes","No")</f>
        <v>No</v>
      </c>
    </row>
    <row r="292" spans="1:7" x14ac:dyDescent="0.35">
      <c r="A292" s="2" t="s">
        <v>791</v>
      </c>
      <c r="B292" s="2" t="s">
        <v>43</v>
      </c>
      <c r="C292" s="3">
        <v>44258</v>
      </c>
      <c r="D292">
        <v>111</v>
      </c>
      <c r="E292" s="2" t="s">
        <v>20</v>
      </c>
      <c r="F292" s="2">
        <v>93.58</v>
      </c>
      <c r="G292" s="2" t="str">
        <f>IF(F292&gt;D292,"Yes","No")</f>
        <v>No</v>
      </c>
    </row>
    <row r="293" spans="1:7" x14ac:dyDescent="0.35">
      <c r="A293" s="2" t="s">
        <v>129</v>
      </c>
      <c r="B293" s="2" t="s">
        <v>10</v>
      </c>
      <c r="C293" s="3">
        <v>43952</v>
      </c>
      <c r="D293">
        <v>106</v>
      </c>
      <c r="E293" s="2" t="s">
        <v>24</v>
      </c>
      <c r="F293" s="2">
        <v>93.58</v>
      </c>
      <c r="G293" s="2" t="str">
        <f>IF(F293&gt;D293,"Yes","No")</f>
        <v>No</v>
      </c>
    </row>
    <row r="294" spans="1:7" x14ac:dyDescent="0.35">
      <c r="A294" s="2" t="s">
        <v>994</v>
      </c>
      <c r="B294" s="2" t="s">
        <v>6</v>
      </c>
      <c r="C294" s="3">
        <v>44020</v>
      </c>
      <c r="D294">
        <v>96</v>
      </c>
      <c r="E294" s="2" t="s">
        <v>996</v>
      </c>
      <c r="F294" s="2">
        <v>93.58</v>
      </c>
      <c r="G294" s="2" t="str">
        <f>IF(F294&gt;D294,"Yes","No")</f>
        <v>No</v>
      </c>
    </row>
    <row r="295" spans="1:7" x14ac:dyDescent="0.35">
      <c r="A295" s="2" t="s">
        <v>478</v>
      </c>
      <c r="B295" s="2" t="s">
        <v>479</v>
      </c>
      <c r="C295" s="3">
        <v>43630</v>
      </c>
      <c r="D295">
        <v>97</v>
      </c>
      <c r="E295" s="2" t="s">
        <v>20</v>
      </c>
      <c r="F295" s="2">
        <v>93.58</v>
      </c>
      <c r="G295" s="2" t="str">
        <f>IF(F295&gt;D295,"Yes","No")</f>
        <v>No</v>
      </c>
    </row>
    <row r="296" spans="1:7" x14ac:dyDescent="0.35">
      <c r="A296" s="2" t="s">
        <v>649</v>
      </c>
      <c r="B296" s="2" t="s">
        <v>6</v>
      </c>
      <c r="C296" s="3">
        <v>43950</v>
      </c>
      <c r="D296">
        <v>97</v>
      </c>
      <c r="E296" s="2" t="s">
        <v>20</v>
      </c>
      <c r="F296" s="2">
        <v>93.58</v>
      </c>
      <c r="G296" s="2" t="str">
        <f>IF(F296&gt;D296,"Yes","No")</f>
        <v>No</v>
      </c>
    </row>
    <row r="297" spans="1:7" x14ac:dyDescent="0.35">
      <c r="A297" s="2" t="s">
        <v>593</v>
      </c>
      <c r="B297" s="2" t="s">
        <v>43</v>
      </c>
      <c r="C297" s="3">
        <v>43574</v>
      </c>
      <c r="D297">
        <v>101</v>
      </c>
      <c r="E297" s="2" t="s">
        <v>24</v>
      </c>
      <c r="F297" s="2">
        <v>93.58</v>
      </c>
      <c r="G297" s="2" t="str">
        <f>IF(F297&gt;D297,"Yes","No")</f>
        <v>No</v>
      </c>
    </row>
    <row r="298" spans="1:7" x14ac:dyDescent="0.35">
      <c r="A298" s="2" t="s">
        <v>283</v>
      </c>
      <c r="B298" s="2" t="s">
        <v>284</v>
      </c>
      <c r="C298" s="3">
        <v>43154</v>
      </c>
      <c r="D298">
        <v>126</v>
      </c>
      <c r="E298" s="2" t="s">
        <v>20</v>
      </c>
      <c r="F298" s="2">
        <v>93.58</v>
      </c>
      <c r="G298" s="2" t="str">
        <f>IF(F298&gt;D298,"Yes","No")</f>
        <v>No</v>
      </c>
    </row>
    <row r="299" spans="1:7" x14ac:dyDescent="0.35">
      <c r="A299" s="2" t="s">
        <v>932</v>
      </c>
      <c r="B299" s="2" t="s">
        <v>6</v>
      </c>
      <c r="C299" s="3">
        <v>42447</v>
      </c>
      <c r="D299">
        <v>91</v>
      </c>
      <c r="E299" s="2" t="s">
        <v>20</v>
      </c>
      <c r="F299" s="2">
        <v>93.58</v>
      </c>
      <c r="G299" s="2" t="str">
        <f>IF(F299&gt;D299,"Yes","No")</f>
        <v>Yes</v>
      </c>
    </row>
    <row r="300" spans="1:7" x14ac:dyDescent="0.35">
      <c r="A300" s="2" t="s">
        <v>1101</v>
      </c>
      <c r="B300" s="2" t="s">
        <v>6</v>
      </c>
      <c r="C300" s="3">
        <v>44081</v>
      </c>
      <c r="D300">
        <v>85</v>
      </c>
      <c r="E300" s="2" t="s">
        <v>20</v>
      </c>
      <c r="F300" s="2">
        <v>93.58</v>
      </c>
      <c r="G300" s="2" t="str">
        <f>IF(F300&gt;D300,"Yes","No")</f>
        <v>Yes</v>
      </c>
    </row>
    <row r="301" spans="1:7" x14ac:dyDescent="0.35">
      <c r="A301" s="2" t="s">
        <v>651</v>
      </c>
      <c r="B301" s="2" t="s">
        <v>6</v>
      </c>
      <c r="C301" s="3">
        <v>41986</v>
      </c>
      <c r="D301">
        <v>81</v>
      </c>
      <c r="E301" s="2" t="s">
        <v>20</v>
      </c>
      <c r="F301" s="2">
        <v>93.58</v>
      </c>
      <c r="G301" s="2" t="str">
        <f>IF(F301&gt;D301,"Yes","No")</f>
        <v>Yes</v>
      </c>
    </row>
    <row r="302" spans="1:7" x14ac:dyDescent="0.35">
      <c r="A302" s="2" t="s">
        <v>594</v>
      </c>
      <c r="B302" s="2" t="s">
        <v>6</v>
      </c>
      <c r="C302" s="3">
        <v>44342</v>
      </c>
      <c r="D302">
        <v>72</v>
      </c>
      <c r="E302" s="2" t="s">
        <v>20</v>
      </c>
      <c r="F302" s="2">
        <v>93.58</v>
      </c>
      <c r="G302" s="2" t="str">
        <f>IF(F302&gt;D302,"Yes","No")</f>
        <v>Yes</v>
      </c>
    </row>
    <row r="303" spans="1:7" x14ac:dyDescent="0.35">
      <c r="A303" s="2" t="s">
        <v>256</v>
      </c>
      <c r="B303" s="2" t="s">
        <v>29</v>
      </c>
      <c r="C303" s="3">
        <v>42958</v>
      </c>
      <c r="D303">
        <v>96</v>
      </c>
      <c r="E303" s="2" t="s">
        <v>20</v>
      </c>
      <c r="F303" s="2">
        <v>93.58</v>
      </c>
      <c r="G303" s="2" t="str">
        <f>IF(F303&gt;D303,"Yes","No")</f>
        <v>No</v>
      </c>
    </row>
    <row r="304" spans="1:7" x14ac:dyDescent="0.35">
      <c r="A304" s="2" t="s">
        <v>653</v>
      </c>
      <c r="B304" s="2" t="s">
        <v>215</v>
      </c>
      <c r="C304" s="3">
        <v>43364</v>
      </c>
      <c r="D304">
        <v>98</v>
      </c>
      <c r="E304" s="2" t="s">
        <v>20</v>
      </c>
      <c r="F304" s="2">
        <v>93.58</v>
      </c>
      <c r="G304" s="2" t="str">
        <f>IF(F304&gt;D304,"Yes","No")</f>
        <v>No</v>
      </c>
    </row>
    <row r="305" spans="1:7" x14ac:dyDescent="0.35">
      <c r="A305" s="2" t="s">
        <v>793</v>
      </c>
      <c r="B305" s="2" t="s">
        <v>43</v>
      </c>
      <c r="C305" s="3">
        <v>44295</v>
      </c>
      <c r="D305">
        <v>132</v>
      </c>
      <c r="E305" s="2" t="s">
        <v>45</v>
      </c>
      <c r="F305" s="2">
        <v>93.58</v>
      </c>
      <c r="G305" s="2" t="str">
        <f>IF(F305&gt;D305,"Yes","No")</f>
        <v>No</v>
      </c>
    </row>
    <row r="306" spans="1:7" x14ac:dyDescent="0.35">
      <c r="A306" s="2" t="s">
        <v>718</v>
      </c>
      <c r="B306" s="2" t="s">
        <v>43</v>
      </c>
      <c r="C306" s="3">
        <v>44006</v>
      </c>
      <c r="D306">
        <v>91</v>
      </c>
      <c r="E306" s="2" t="s">
        <v>12</v>
      </c>
      <c r="F306" s="2">
        <v>93.58</v>
      </c>
      <c r="G306" s="2" t="str">
        <f>IF(F306&gt;D306,"Yes","No")</f>
        <v>Yes</v>
      </c>
    </row>
    <row r="307" spans="1:7" x14ac:dyDescent="0.35">
      <c r="A307" s="2" t="s">
        <v>131</v>
      </c>
      <c r="B307" s="2" t="s">
        <v>95</v>
      </c>
      <c r="C307" s="3">
        <v>44132</v>
      </c>
      <c r="D307">
        <v>103</v>
      </c>
      <c r="E307" s="2" t="s">
        <v>133</v>
      </c>
      <c r="F307" s="2">
        <v>93.58</v>
      </c>
      <c r="G307" s="2" t="str">
        <f>IF(F307&gt;D307,"Yes","No")</f>
        <v>No</v>
      </c>
    </row>
    <row r="308" spans="1:7" x14ac:dyDescent="0.35">
      <c r="A308" s="2" t="s">
        <v>720</v>
      </c>
      <c r="B308" s="2" t="s">
        <v>6</v>
      </c>
      <c r="C308" s="3">
        <v>42909</v>
      </c>
      <c r="D308">
        <v>95</v>
      </c>
      <c r="E308" s="2" t="s">
        <v>20</v>
      </c>
      <c r="F308" s="2">
        <v>93.58</v>
      </c>
      <c r="G308" s="2" t="str">
        <f>IF(F308&gt;D308,"Yes","No")</f>
        <v>No</v>
      </c>
    </row>
    <row r="309" spans="1:7" x14ac:dyDescent="0.35">
      <c r="A309" s="2" t="s">
        <v>595</v>
      </c>
      <c r="B309" s="2" t="s">
        <v>43</v>
      </c>
      <c r="C309" s="3">
        <v>44159</v>
      </c>
      <c r="D309">
        <v>83</v>
      </c>
      <c r="E309" s="2" t="s">
        <v>12</v>
      </c>
      <c r="F309" s="2">
        <v>93.58</v>
      </c>
      <c r="G309" s="2" t="str">
        <f>IF(F309&gt;D309,"Yes","No")</f>
        <v>Yes</v>
      </c>
    </row>
    <row r="310" spans="1:7" x14ac:dyDescent="0.35">
      <c r="A310" s="2" t="s">
        <v>454</v>
      </c>
      <c r="B310" s="2" t="s">
        <v>6</v>
      </c>
      <c r="C310" s="3">
        <v>43371</v>
      </c>
      <c r="D310">
        <v>23</v>
      </c>
      <c r="E310" s="2" t="s">
        <v>20</v>
      </c>
      <c r="F310" s="2">
        <v>93.58</v>
      </c>
      <c r="G310" s="2" t="str">
        <f>IF(F310&gt;D310,"Yes","No")</f>
        <v>Yes</v>
      </c>
    </row>
    <row r="311" spans="1:7" x14ac:dyDescent="0.35">
      <c r="A311" s="2" t="s">
        <v>556</v>
      </c>
      <c r="B311" s="2" t="s">
        <v>175</v>
      </c>
      <c r="C311" s="3">
        <v>44057</v>
      </c>
      <c r="D311">
        <v>72</v>
      </c>
      <c r="E311" s="2" t="s">
        <v>20</v>
      </c>
      <c r="F311" s="2">
        <v>93.58</v>
      </c>
      <c r="G311" s="2" t="str">
        <f>IF(F311&gt;D311,"Yes","No")</f>
        <v>Yes</v>
      </c>
    </row>
    <row r="312" spans="1:7" x14ac:dyDescent="0.35">
      <c r="A312" s="2" t="s">
        <v>997</v>
      </c>
      <c r="B312" s="2" t="s">
        <v>175</v>
      </c>
      <c r="C312" s="3">
        <v>44117</v>
      </c>
      <c r="D312">
        <v>47</v>
      </c>
      <c r="E312" s="2" t="s">
        <v>20</v>
      </c>
      <c r="F312" s="2">
        <v>93.58</v>
      </c>
      <c r="G312" s="2" t="str">
        <f>IF(F312&gt;D312,"Yes","No")</f>
        <v>Yes</v>
      </c>
    </row>
    <row r="313" spans="1:7" x14ac:dyDescent="0.35">
      <c r="A313" s="2" t="s">
        <v>557</v>
      </c>
      <c r="B313" s="2" t="s">
        <v>10</v>
      </c>
      <c r="C313" s="3">
        <v>44036</v>
      </c>
      <c r="D313">
        <v>139</v>
      </c>
      <c r="E313" s="2" t="s">
        <v>12</v>
      </c>
      <c r="F313" s="2">
        <v>93.58</v>
      </c>
      <c r="G313" s="2" t="str">
        <f>IF(F313&gt;D313,"Yes","No")</f>
        <v>No</v>
      </c>
    </row>
    <row r="314" spans="1:7" x14ac:dyDescent="0.35">
      <c r="A314" s="2" t="s">
        <v>999</v>
      </c>
      <c r="B314" s="2" t="s">
        <v>1000</v>
      </c>
      <c r="C314" s="3">
        <v>42914</v>
      </c>
      <c r="D314">
        <v>121</v>
      </c>
      <c r="E314" s="2" t="s">
        <v>1002</v>
      </c>
      <c r="F314" s="2">
        <v>93.58</v>
      </c>
      <c r="G314" s="2" t="str">
        <f>IF(F314&gt;D314,"Yes","No")</f>
        <v>No</v>
      </c>
    </row>
    <row r="315" spans="1:7" x14ac:dyDescent="0.35">
      <c r="A315" s="2" t="s">
        <v>1129</v>
      </c>
      <c r="B315" s="2" t="s">
        <v>287</v>
      </c>
      <c r="C315" s="3">
        <v>44106</v>
      </c>
      <c r="D315">
        <v>106</v>
      </c>
      <c r="E315" s="2" t="s">
        <v>20</v>
      </c>
      <c r="F315" s="2">
        <v>93.58</v>
      </c>
      <c r="G315" s="2" t="str">
        <f>IF(F315&gt;D315,"Yes","No")</f>
        <v>No</v>
      </c>
    </row>
    <row r="316" spans="1:7" x14ac:dyDescent="0.35">
      <c r="A316" s="2" t="s">
        <v>1003</v>
      </c>
      <c r="B316" s="2" t="s">
        <v>287</v>
      </c>
      <c r="C316" s="3">
        <v>43355</v>
      </c>
      <c r="D316">
        <v>100</v>
      </c>
      <c r="E316" s="2" t="s">
        <v>16</v>
      </c>
      <c r="F316" s="2">
        <v>93.58</v>
      </c>
      <c r="G316" s="2" t="str">
        <f>IF(F316&gt;D316,"Yes","No")</f>
        <v>No</v>
      </c>
    </row>
    <row r="317" spans="1:7" x14ac:dyDescent="0.35">
      <c r="A317" s="2" t="s">
        <v>933</v>
      </c>
      <c r="B317" s="2" t="s">
        <v>6</v>
      </c>
      <c r="C317" s="3">
        <v>43028</v>
      </c>
      <c r="D317">
        <v>95</v>
      </c>
      <c r="E317" s="2" t="s">
        <v>20</v>
      </c>
      <c r="F317" s="2">
        <v>93.58</v>
      </c>
      <c r="G317" s="2" t="str">
        <f>IF(F317&gt;D317,"Yes","No")</f>
        <v>No</v>
      </c>
    </row>
    <row r="318" spans="1:7" x14ac:dyDescent="0.35">
      <c r="A318" s="2" t="s">
        <v>363</v>
      </c>
      <c r="B318" s="2" t="s">
        <v>6</v>
      </c>
      <c r="C318" s="3">
        <v>44000</v>
      </c>
      <c r="D318">
        <v>85</v>
      </c>
      <c r="E318" s="2" t="s">
        <v>193</v>
      </c>
      <c r="F318" s="2">
        <v>93.58</v>
      </c>
      <c r="G318" s="2" t="str">
        <f>IF(F318&gt;D318,"Yes","No")</f>
        <v>Yes</v>
      </c>
    </row>
    <row r="319" spans="1:7" x14ac:dyDescent="0.35">
      <c r="A319" s="2" t="s">
        <v>321</v>
      </c>
      <c r="B319" s="2" t="s">
        <v>322</v>
      </c>
      <c r="C319" s="3">
        <v>44001</v>
      </c>
      <c r="D319">
        <v>90</v>
      </c>
      <c r="E319" s="2" t="s">
        <v>31</v>
      </c>
      <c r="F319" s="2">
        <v>93.58</v>
      </c>
      <c r="G319" s="2" t="str">
        <f>IF(F319&gt;D319,"Yes","No")</f>
        <v>Yes</v>
      </c>
    </row>
    <row r="320" spans="1:7" x14ac:dyDescent="0.35">
      <c r="A320" s="2" t="s">
        <v>407</v>
      </c>
      <c r="B320" s="2" t="s">
        <v>47</v>
      </c>
      <c r="C320" s="3">
        <v>44140</v>
      </c>
      <c r="D320">
        <v>96</v>
      </c>
      <c r="E320" s="2" t="s">
        <v>20</v>
      </c>
      <c r="F320" s="2">
        <v>93.58</v>
      </c>
      <c r="G320" s="2" t="str">
        <f>IF(F320&gt;D320,"Yes","No")</f>
        <v>No</v>
      </c>
    </row>
    <row r="321" spans="1:7" x14ac:dyDescent="0.35">
      <c r="A321" s="2" t="s">
        <v>885</v>
      </c>
      <c r="B321" s="2" t="s">
        <v>6</v>
      </c>
      <c r="C321" s="3">
        <v>44272</v>
      </c>
      <c r="D321">
        <v>99</v>
      </c>
      <c r="E321" s="2" t="s">
        <v>20</v>
      </c>
      <c r="F321" s="2">
        <v>93.58</v>
      </c>
      <c r="G321" s="2" t="str">
        <f>IF(F321&gt;D321,"Yes","No")</f>
        <v>No</v>
      </c>
    </row>
    <row r="322" spans="1:7" x14ac:dyDescent="0.35">
      <c r="A322" s="2" t="s">
        <v>517</v>
      </c>
      <c r="B322" s="2" t="s">
        <v>29</v>
      </c>
      <c r="C322" s="3">
        <v>43679</v>
      </c>
      <c r="D322">
        <v>100</v>
      </c>
      <c r="E322" s="2" t="s">
        <v>20</v>
      </c>
      <c r="F322" s="2">
        <v>93.58</v>
      </c>
      <c r="G322" s="2" t="str">
        <f>IF(F322&gt;D322,"Yes","No")</f>
        <v>No</v>
      </c>
    </row>
    <row r="323" spans="1:7" x14ac:dyDescent="0.35">
      <c r="A323" s="2" t="s">
        <v>858</v>
      </c>
      <c r="B323" s="2" t="s">
        <v>322</v>
      </c>
      <c r="C323" s="3">
        <v>43007</v>
      </c>
      <c r="D323">
        <v>103</v>
      </c>
      <c r="E323" s="2" t="s">
        <v>20</v>
      </c>
      <c r="F323" s="2">
        <v>93.58</v>
      </c>
      <c r="G323" s="2" t="str">
        <f>IF(F323&gt;D323,"Yes","No")</f>
        <v>No</v>
      </c>
    </row>
    <row r="324" spans="1:7" x14ac:dyDescent="0.35">
      <c r="A324" s="2" t="s">
        <v>365</v>
      </c>
      <c r="B324" s="2" t="s">
        <v>6</v>
      </c>
      <c r="C324" s="3">
        <v>43446</v>
      </c>
      <c r="D324">
        <v>34</v>
      </c>
      <c r="E324" s="2" t="s">
        <v>20</v>
      </c>
      <c r="F324" s="2">
        <v>93.58</v>
      </c>
      <c r="G324" s="2" t="str">
        <f>IF(F324&gt;D324,"Yes","No")</f>
        <v>Yes</v>
      </c>
    </row>
    <row r="325" spans="1:7" x14ac:dyDescent="0.35">
      <c r="A325" s="2" t="s">
        <v>859</v>
      </c>
      <c r="B325" s="2" t="s">
        <v>860</v>
      </c>
      <c r="C325" s="3">
        <v>43413</v>
      </c>
      <c r="D325">
        <v>121</v>
      </c>
      <c r="E325" s="2" t="s">
        <v>20</v>
      </c>
      <c r="F325" s="2">
        <v>93.58</v>
      </c>
      <c r="G325" s="2" t="str">
        <f>IF(F325&gt;D325,"Yes","No")</f>
        <v>No</v>
      </c>
    </row>
    <row r="326" spans="1:7" x14ac:dyDescent="0.35">
      <c r="A326" s="2" t="s">
        <v>258</v>
      </c>
      <c r="B326" s="2" t="s">
        <v>259</v>
      </c>
      <c r="C326" s="3">
        <v>44211</v>
      </c>
      <c r="D326">
        <v>114</v>
      </c>
      <c r="E326" s="2" t="s">
        <v>20</v>
      </c>
      <c r="F326" s="2">
        <v>93.58</v>
      </c>
      <c r="G326" s="2" t="str">
        <f>IF(F326&gt;D326,"Yes","No")</f>
        <v>No</v>
      </c>
    </row>
    <row r="327" spans="1:7" x14ac:dyDescent="0.35">
      <c r="A327" s="2" t="s">
        <v>655</v>
      </c>
      <c r="B327" s="2" t="s">
        <v>656</v>
      </c>
      <c r="C327" s="3">
        <v>44127</v>
      </c>
      <c r="D327">
        <v>95</v>
      </c>
      <c r="E327" s="2" t="s">
        <v>20</v>
      </c>
      <c r="F327" s="2">
        <v>93.58</v>
      </c>
      <c r="G327" s="2" t="str">
        <f>IF(F327&gt;D327,"Yes","No")</f>
        <v>No</v>
      </c>
    </row>
    <row r="328" spans="1:7" x14ac:dyDescent="0.35">
      <c r="A328" s="2" t="s">
        <v>722</v>
      </c>
      <c r="B328" s="2" t="s">
        <v>723</v>
      </c>
      <c r="C328" s="3">
        <v>44328</v>
      </c>
      <c r="D328">
        <v>101</v>
      </c>
      <c r="E328" s="2" t="s">
        <v>88</v>
      </c>
      <c r="F328" s="2">
        <v>93.58</v>
      </c>
      <c r="G328" s="2" t="str">
        <f>IF(F328&gt;D328,"Yes","No")</f>
        <v>No</v>
      </c>
    </row>
    <row r="329" spans="1:7" x14ac:dyDescent="0.35">
      <c r="A329" s="2" t="s">
        <v>962</v>
      </c>
      <c r="B329" s="2" t="s">
        <v>963</v>
      </c>
      <c r="C329" s="3">
        <v>43518</v>
      </c>
      <c r="D329">
        <v>89</v>
      </c>
      <c r="E329" s="2" t="s">
        <v>20</v>
      </c>
      <c r="F329" s="2">
        <v>93.58</v>
      </c>
      <c r="G329" s="2" t="str">
        <f>IF(F329&gt;D329,"Yes","No")</f>
        <v>Yes</v>
      </c>
    </row>
    <row r="330" spans="1:7" x14ac:dyDescent="0.35">
      <c r="A330" s="2" t="s">
        <v>862</v>
      </c>
      <c r="B330" s="2" t="s">
        <v>215</v>
      </c>
      <c r="C330" s="3">
        <v>44281</v>
      </c>
      <c r="D330">
        <v>114</v>
      </c>
      <c r="E330" s="2" t="s">
        <v>24</v>
      </c>
      <c r="F330" s="2">
        <v>93.58</v>
      </c>
      <c r="G330" s="2" t="str">
        <f>IF(F330&gt;D330,"Yes","No")</f>
        <v>No</v>
      </c>
    </row>
    <row r="331" spans="1:7" x14ac:dyDescent="0.35">
      <c r="A331" s="2" t="s">
        <v>794</v>
      </c>
      <c r="B331" s="2" t="s">
        <v>43</v>
      </c>
      <c r="C331" s="3">
        <v>44267</v>
      </c>
      <c r="D331">
        <v>97</v>
      </c>
      <c r="E331" s="2" t="s">
        <v>31</v>
      </c>
      <c r="F331" s="2">
        <v>93.58</v>
      </c>
      <c r="G331" s="2" t="str">
        <f>IF(F331&gt;D331,"Yes","No")</f>
        <v>No</v>
      </c>
    </row>
    <row r="332" spans="1:7" x14ac:dyDescent="0.35">
      <c r="A332" s="2" t="s">
        <v>35</v>
      </c>
      <c r="B332" s="2" t="s">
        <v>36</v>
      </c>
      <c r="C332" s="3">
        <v>43182</v>
      </c>
      <c r="D332">
        <v>73</v>
      </c>
      <c r="E332" s="2" t="s">
        <v>20</v>
      </c>
      <c r="F332" s="2">
        <v>93.58</v>
      </c>
      <c r="G332" s="2" t="str">
        <f>IF(F332&gt;D332,"Yes","No")</f>
        <v>Yes</v>
      </c>
    </row>
    <row r="333" spans="1:7" x14ac:dyDescent="0.35">
      <c r="A333" s="2" t="s">
        <v>795</v>
      </c>
      <c r="B333" s="2" t="s">
        <v>6</v>
      </c>
      <c r="C333" s="3">
        <v>43656</v>
      </c>
      <c r="D333">
        <v>106</v>
      </c>
      <c r="E333" s="2" t="s">
        <v>12</v>
      </c>
      <c r="F333" s="2">
        <v>93.58</v>
      </c>
      <c r="G333" s="2" t="str">
        <f>IF(F333&gt;D333,"Yes","No")</f>
        <v>No</v>
      </c>
    </row>
    <row r="334" spans="1:7" x14ac:dyDescent="0.35">
      <c r="A334" s="2" t="s">
        <v>97</v>
      </c>
      <c r="B334" s="2" t="s">
        <v>98</v>
      </c>
      <c r="C334" s="3">
        <v>43518</v>
      </c>
      <c r="D334">
        <v>83</v>
      </c>
      <c r="E334" s="2" t="s">
        <v>88</v>
      </c>
      <c r="F334" s="2">
        <v>93.58</v>
      </c>
      <c r="G334" s="2" t="str">
        <f>IF(F334&gt;D334,"Yes","No")</f>
        <v>Yes</v>
      </c>
    </row>
    <row r="335" spans="1:7" x14ac:dyDescent="0.35">
      <c r="A335" s="2" t="s">
        <v>519</v>
      </c>
      <c r="B335" s="2" t="s">
        <v>520</v>
      </c>
      <c r="C335" s="3">
        <v>42447</v>
      </c>
      <c r="D335">
        <v>89</v>
      </c>
      <c r="E335" s="2" t="s">
        <v>20</v>
      </c>
      <c r="F335" s="2">
        <v>93.58</v>
      </c>
      <c r="G335" s="2" t="str">
        <f>IF(F335&gt;D335,"Yes","No")</f>
        <v>Yes</v>
      </c>
    </row>
    <row r="336" spans="1:7" x14ac:dyDescent="0.35">
      <c r="A336" s="2" t="s">
        <v>887</v>
      </c>
      <c r="B336" s="2" t="s">
        <v>6</v>
      </c>
      <c r="C336" s="3">
        <v>44250</v>
      </c>
      <c r="D336">
        <v>108</v>
      </c>
      <c r="E336" s="2" t="s">
        <v>20</v>
      </c>
      <c r="F336" s="2">
        <v>93.58</v>
      </c>
      <c r="G336" s="2" t="str">
        <f>IF(F336&gt;D336,"Yes","No")</f>
        <v>No</v>
      </c>
    </row>
    <row r="337" spans="1:7" x14ac:dyDescent="0.35">
      <c r="A337" s="2" t="s">
        <v>1028</v>
      </c>
      <c r="B337" s="2" t="s">
        <v>6</v>
      </c>
      <c r="C337" s="3">
        <v>43508</v>
      </c>
      <c r="D337">
        <v>26</v>
      </c>
      <c r="E337" s="2" t="s">
        <v>959</v>
      </c>
      <c r="F337" s="2">
        <v>93.58</v>
      </c>
      <c r="G337" s="2" t="str">
        <f>IF(F337&gt;D337,"Yes","No")</f>
        <v>Yes</v>
      </c>
    </row>
    <row r="338" spans="1:7" x14ac:dyDescent="0.35">
      <c r="A338" s="2" t="s">
        <v>934</v>
      </c>
      <c r="B338" s="2" t="s">
        <v>43</v>
      </c>
      <c r="C338" s="3">
        <v>44203</v>
      </c>
      <c r="D338">
        <v>126</v>
      </c>
      <c r="E338" s="2" t="s">
        <v>20</v>
      </c>
      <c r="F338" s="2">
        <v>93.58</v>
      </c>
      <c r="G338" s="2" t="str">
        <f>IF(F338&gt;D338,"Yes","No")</f>
        <v>No</v>
      </c>
    </row>
    <row r="339" spans="1:7" x14ac:dyDescent="0.35">
      <c r="A339" s="2" t="s">
        <v>367</v>
      </c>
      <c r="B339" s="2" t="s">
        <v>26</v>
      </c>
      <c r="C339" s="3">
        <v>43658</v>
      </c>
      <c r="D339">
        <v>86</v>
      </c>
      <c r="E339" s="2" t="s">
        <v>20</v>
      </c>
      <c r="F339" s="2">
        <v>93.58</v>
      </c>
      <c r="G339" s="2" t="str">
        <f>IF(F339&gt;D339,"Yes","No")</f>
        <v>Yes</v>
      </c>
    </row>
    <row r="340" spans="1:7" x14ac:dyDescent="0.35">
      <c r="A340" s="2" t="s">
        <v>597</v>
      </c>
      <c r="B340" s="2" t="s">
        <v>26</v>
      </c>
      <c r="C340" s="3">
        <v>43490</v>
      </c>
      <c r="D340">
        <v>118</v>
      </c>
      <c r="E340" s="2" t="s">
        <v>20</v>
      </c>
      <c r="F340" s="2">
        <v>93.58</v>
      </c>
      <c r="G340" s="2" t="str">
        <f>IF(F340&gt;D340,"Yes","No")</f>
        <v>No</v>
      </c>
    </row>
    <row r="341" spans="1:7" x14ac:dyDescent="0.35">
      <c r="A341" s="2" t="s">
        <v>100</v>
      </c>
      <c r="B341" s="2" t="s">
        <v>29</v>
      </c>
      <c r="C341" s="3">
        <v>43802</v>
      </c>
      <c r="D341">
        <v>46</v>
      </c>
      <c r="E341" s="2" t="s">
        <v>102</v>
      </c>
      <c r="F341" s="2">
        <v>93.58</v>
      </c>
      <c r="G341" s="2" t="str">
        <f>IF(F341&gt;D341,"Yes","No")</f>
        <v>Yes</v>
      </c>
    </row>
    <row r="342" spans="1:7" x14ac:dyDescent="0.35">
      <c r="A342" s="2" t="s">
        <v>599</v>
      </c>
      <c r="B342" s="2" t="s">
        <v>29</v>
      </c>
      <c r="C342" s="3">
        <v>43455</v>
      </c>
      <c r="D342">
        <v>44</v>
      </c>
      <c r="E342" s="2" t="s">
        <v>102</v>
      </c>
      <c r="F342" s="2">
        <v>93.58</v>
      </c>
      <c r="G342" s="2" t="str">
        <f>IF(F342&gt;D342,"Yes","No")</f>
        <v>Yes</v>
      </c>
    </row>
    <row r="343" spans="1:7" x14ac:dyDescent="0.35">
      <c r="A343" s="2" t="s">
        <v>369</v>
      </c>
      <c r="B343" s="2" t="s">
        <v>10</v>
      </c>
      <c r="C343" s="3">
        <v>44300</v>
      </c>
      <c r="D343">
        <v>91</v>
      </c>
      <c r="E343" s="2" t="s">
        <v>133</v>
      </c>
      <c r="F343" s="2">
        <v>93.58</v>
      </c>
      <c r="G343" s="2" t="str">
        <f>IF(F343&gt;D343,"Yes","No")</f>
        <v>Yes</v>
      </c>
    </row>
    <row r="344" spans="1:7" x14ac:dyDescent="0.35">
      <c r="A344" s="2" t="s">
        <v>964</v>
      </c>
      <c r="B344" s="2" t="s">
        <v>43</v>
      </c>
      <c r="C344" s="3">
        <v>43378</v>
      </c>
      <c r="D344">
        <v>124</v>
      </c>
      <c r="E344" s="2" t="s">
        <v>20</v>
      </c>
      <c r="F344" s="2">
        <v>93.58</v>
      </c>
      <c r="G344" s="2" t="str">
        <f>IF(F344&gt;D344,"Yes","No")</f>
        <v>No</v>
      </c>
    </row>
    <row r="345" spans="1:7" x14ac:dyDescent="0.35">
      <c r="A345" s="2" t="s">
        <v>481</v>
      </c>
      <c r="B345" s="2" t="s">
        <v>122</v>
      </c>
      <c r="C345" s="3">
        <v>44057</v>
      </c>
      <c r="D345">
        <v>113</v>
      </c>
      <c r="E345" s="2" t="s">
        <v>20</v>
      </c>
      <c r="F345" s="2">
        <v>93.58</v>
      </c>
      <c r="G345" s="2" t="str">
        <f>IF(F345&gt;D345,"Yes","No")</f>
        <v>No</v>
      </c>
    </row>
    <row r="346" spans="1:7" x14ac:dyDescent="0.35">
      <c r="A346" s="2" t="s">
        <v>1061</v>
      </c>
      <c r="B346" s="2" t="s">
        <v>6</v>
      </c>
      <c r="C346" s="3">
        <v>43364</v>
      </c>
      <c r="D346">
        <v>124</v>
      </c>
      <c r="E346" s="2" t="s">
        <v>20</v>
      </c>
      <c r="F346" s="2">
        <v>93.58</v>
      </c>
      <c r="G346" s="2" t="str">
        <f>IF(F346&gt;D346,"Yes","No")</f>
        <v>No</v>
      </c>
    </row>
    <row r="347" spans="1:7" x14ac:dyDescent="0.35">
      <c r="A347" s="2" t="s">
        <v>1005</v>
      </c>
      <c r="B347" s="2" t="s">
        <v>10</v>
      </c>
      <c r="C347" s="3">
        <v>44043</v>
      </c>
      <c r="D347">
        <v>149</v>
      </c>
      <c r="E347" s="2" t="s">
        <v>24</v>
      </c>
      <c r="F347" s="2">
        <v>93.58</v>
      </c>
      <c r="G347" s="2" t="str">
        <f>IF(F347&gt;D347,"Yes","No")</f>
        <v>No</v>
      </c>
    </row>
    <row r="348" spans="1:7" x14ac:dyDescent="0.35">
      <c r="A348" s="2" t="s">
        <v>409</v>
      </c>
      <c r="B348" s="2" t="s">
        <v>215</v>
      </c>
      <c r="C348" s="3">
        <v>43434</v>
      </c>
      <c r="D348">
        <v>118</v>
      </c>
      <c r="E348" s="2" t="s">
        <v>24</v>
      </c>
      <c r="F348" s="2">
        <v>93.58</v>
      </c>
      <c r="G348" s="2" t="str">
        <f>IF(F348&gt;D348,"Yes","No")</f>
        <v>No</v>
      </c>
    </row>
    <row r="349" spans="1:7" x14ac:dyDescent="0.35">
      <c r="A349" s="2" t="s">
        <v>936</v>
      </c>
      <c r="B349" s="2" t="s">
        <v>6</v>
      </c>
      <c r="C349" s="3">
        <v>43196</v>
      </c>
      <c r="D349">
        <v>31</v>
      </c>
      <c r="E349" s="2" t="s">
        <v>20</v>
      </c>
      <c r="F349" s="2">
        <v>93.58</v>
      </c>
      <c r="G349" s="2" t="str">
        <f>IF(F349&gt;D349,"Yes","No")</f>
        <v>Yes</v>
      </c>
    </row>
    <row r="350" spans="1:7" x14ac:dyDescent="0.35">
      <c r="A350" s="2" t="s">
        <v>103</v>
      </c>
      <c r="B350" s="2" t="s">
        <v>95</v>
      </c>
      <c r="C350" s="3">
        <v>43763</v>
      </c>
      <c r="D350">
        <v>85</v>
      </c>
      <c r="E350" s="2" t="s">
        <v>20</v>
      </c>
      <c r="F350" s="2">
        <v>93.58</v>
      </c>
      <c r="G350" s="2" t="str">
        <f>IF(F350&gt;D350,"Yes","No")</f>
        <v>Yes</v>
      </c>
    </row>
    <row r="351" spans="1:7" x14ac:dyDescent="0.35">
      <c r="A351" s="2" t="s">
        <v>482</v>
      </c>
      <c r="B351" s="2" t="s">
        <v>483</v>
      </c>
      <c r="C351" s="3">
        <v>44125</v>
      </c>
      <c r="D351">
        <v>123</v>
      </c>
      <c r="E351" s="2" t="s">
        <v>20</v>
      </c>
      <c r="F351" s="2">
        <v>93.58</v>
      </c>
      <c r="G351" s="2" t="str">
        <f>IF(F351&gt;D351,"Yes","No")</f>
        <v>No</v>
      </c>
    </row>
    <row r="352" spans="1:7" x14ac:dyDescent="0.35">
      <c r="A352" s="2" t="s">
        <v>157</v>
      </c>
      <c r="B352" s="2" t="s">
        <v>10</v>
      </c>
      <c r="C352" s="3">
        <v>42566</v>
      </c>
      <c r="D352">
        <v>100</v>
      </c>
      <c r="E352" s="2" t="s">
        <v>20</v>
      </c>
      <c r="F352" s="2">
        <v>93.58</v>
      </c>
      <c r="G352" s="2" t="str">
        <f>IF(F352&gt;D352,"Yes","No")</f>
        <v>No</v>
      </c>
    </row>
    <row r="353" spans="1:7" x14ac:dyDescent="0.35">
      <c r="A353" s="2" t="s">
        <v>747</v>
      </c>
      <c r="B353" s="2" t="s">
        <v>6</v>
      </c>
      <c r="C353" s="3">
        <v>43280</v>
      </c>
      <c r="D353">
        <v>89</v>
      </c>
      <c r="E353" s="2" t="s">
        <v>20</v>
      </c>
      <c r="F353" s="2">
        <v>93.58</v>
      </c>
      <c r="G353" s="2" t="str">
        <f>IF(F353&gt;D353,"Yes","No")</f>
        <v>Yes</v>
      </c>
    </row>
    <row r="354" spans="1:7" x14ac:dyDescent="0.35">
      <c r="A354" s="2" t="s">
        <v>288</v>
      </c>
      <c r="B354" s="2" t="s">
        <v>10</v>
      </c>
      <c r="C354" s="3">
        <v>44238</v>
      </c>
      <c r="D354">
        <v>86</v>
      </c>
      <c r="E354" s="2" t="s">
        <v>289</v>
      </c>
      <c r="F354" s="2">
        <v>93.58</v>
      </c>
      <c r="G354" s="2" t="str">
        <f>IF(F354&gt;D354,"Yes","No")</f>
        <v>Yes</v>
      </c>
    </row>
    <row r="355" spans="1:7" x14ac:dyDescent="0.35">
      <c r="A355" s="2" t="s">
        <v>889</v>
      </c>
      <c r="B355" s="2" t="s">
        <v>6</v>
      </c>
      <c r="C355" s="3">
        <v>43581</v>
      </c>
      <c r="D355">
        <v>48</v>
      </c>
      <c r="E355" s="2" t="s">
        <v>20</v>
      </c>
      <c r="F355" s="2">
        <v>93.58</v>
      </c>
      <c r="G355" s="2" t="str">
        <f>IF(F355&gt;D355,"Yes","No")</f>
        <v>Yes</v>
      </c>
    </row>
    <row r="356" spans="1:7" x14ac:dyDescent="0.35">
      <c r="A356" s="2" t="s">
        <v>1006</v>
      </c>
      <c r="B356" s="2" t="s">
        <v>6</v>
      </c>
      <c r="C356" s="3">
        <v>43476</v>
      </c>
      <c r="D356">
        <v>64</v>
      </c>
      <c r="E356" s="2" t="s">
        <v>93</v>
      </c>
      <c r="F356" s="2">
        <v>93.58</v>
      </c>
      <c r="G356" s="2" t="str">
        <f>IF(F356&gt;D356,"Yes","No")</f>
        <v>Yes</v>
      </c>
    </row>
    <row r="357" spans="1:7" x14ac:dyDescent="0.35">
      <c r="A357" s="2" t="s">
        <v>891</v>
      </c>
      <c r="B357" s="2" t="s">
        <v>6</v>
      </c>
      <c r="C357" s="3">
        <v>43602</v>
      </c>
      <c r="D357">
        <v>84</v>
      </c>
      <c r="E357" s="2" t="s">
        <v>20</v>
      </c>
      <c r="F357" s="2">
        <v>93.58</v>
      </c>
      <c r="G357" s="2" t="str">
        <f>IF(F357&gt;D357,"Yes","No")</f>
        <v>Yes</v>
      </c>
    </row>
    <row r="358" spans="1:7" x14ac:dyDescent="0.35">
      <c r="A358" s="2" t="s">
        <v>892</v>
      </c>
      <c r="B358" s="2" t="s">
        <v>6</v>
      </c>
      <c r="C358" s="3">
        <v>43546</v>
      </c>
      <c r="D358">
        <v>70</v>
      </c>
      <c r="E358" s="2" t="s">
        <v>20</v>
      </c>
      <c r="F358" s="2">
        <v>93.58</v>
      </c>
      <c r="G358" s="2" t="str">
        <f>IF(F358&gt;D358,"Yes","No")</f>
        <v>Yes</v>
      </c>
    </row>
    <row r="359" spans="1:7" x14ac:dyDescent="0.35">
      <c r="A359" s="2" t="s">
        <v>1007</v>
      </c>
      <c r="B359" s="2" t="s">
        <v>6</v>
      </c>
      <c r="C359" s="3">
        <v>43504</v>
      </c>
      <c r="D359">
        <v>64</v>
      </c>
      <c r="E359" s="2" t="s">
        <v>20</v>
      </c>
      <c r="F359" s="2">
        <v>93.58</v>
      </c>
      <c r="G359" s="2" t="str">
        <f>IF(F359&gt;D359,"Yes","No")</f>
        <v>Yes</v>
      </c>
    </row>
    <row r="360" spans="1:7" x14ac:dyDescent="0.35">
      <c r="A360" s="2" t="s">
        <v>937</v>
      </c>
      <c r="B360" s="2" t="s">
        <v>6</v>
      </c>
      <c r="C360" s="3">
        <v>43406</v>
      </c>
      <c r="D360">
        <v>58</v>
      </c>
      <c r="E360" s="2" t="s">
        <v>20</v>
      </c>
      <c r="F360" s="2">
        <v>93.58</v>
      </c>
      <c r="G360" s="2" t="str">
        <f>IF(F360&gt;D360,"Yes","No")</f>
        <v>Yes</v>
      </c>
    </row>
    <row r="361" spans="1:7" x14ac:dyDescent="0.35">
      <c r="A361" s="2" t="s">
        <v>748</v>
      </c>
      <c r="B361" s="2" t="s">
        <v>6</v>
      </c>
      <c r="C361" s="3">
        <v>43441</v>
      </c>
      <c r="D361">
        <v>58</v>
      </c>
      <c r="E361" s="2" t="s">
        <v>20</v>
      </c>
      <c r="F361" s="2">
        <v>93.58</v>
      </c>
      <c r="G361" s="2" t="str">
        <f>IF(F361&gt;D361,"Yes","No")</f>
        <v>Yes</v>
      </c>
    </row>
    <row r="362" spans="1:7" x14ac:dyDescent="0.35">
      <c r="A362" s="2" t="s">
        <v>863</v>
      </c>
      <c r="B362" s="2" t="s">
        <v>6</v>
      </c>
      <c r="C362" s="3">
        <v>43385</v>
      </c>
      <c r="D362">
        <v>57</v>
      </c>
      <c r="E362" s="2" t="s">
        <v>20</v>
      </c>
      <c r="F362" s="2">
        <v>93.58</v>
      </c>
      <c r="G362" s="2" t="str">
        <f>IF(F362&gt;D362,"Yes","No")</f>
        <v>Yes</v>
      </c>
    </row>
    <row r="363" spans="1:7" x14ac:dyDescent="0.35">
      <c r="A363" s="2" t="s">
        <v>894</v>
      </c>
      <c r="B363" s="2" t="s">
        <v>6</v>
      </c>
      <c r="C363" s="3">
        <v>42979</v>
      </c>
      <c r="D363">
        <v>27</v>
      </c>
      <c r="E363" s="2" t="s">
        <v>20</v>
      </c>
      <c r="F363" s="2">
        <v>93.58</v>
      </c>
      <c r="G363" s="2" t="str">
        <f>IF(F363&gt;D363,"Yes","No")</f>
        <v>Yes</v>
      </c>
    </row>
    <row r="364" spans="1:7" x14ac:dyDescent="0.35">
      <c r="A364" s="2" t="s">
        <v>1053</v>
      </c>
      <c r="B364" s="2" t="s">
        <v>6</v>
      </c>
      <c r="C364" s="3">
        <v>43356</v>
      </c>
      <c r="D364">
        <v>99</v>
      </c>
      <c r="E364" s="2" t="s">
        <v>20</v>
      </c>
      <c r="F364" s="2">
        <v>93.58</v>
      </c>
      <c r="G364" s="2" t="str">
        <f>IF(F364&gt;D364,"Yes","No")</f>
        <v>No</v>
      </c>
    </row>
    <row r="365" spans="1:7" x14ac:dyDescent="0.35">
      <c r="A365" s="2" t="s">
        <v>410</v>
      </c>
      <c r="B365" s="2" t="s">
        <v>47</v>
      </c>
      <c r="C365" s="3">
        <v>43951</v>
      </c>
      <c r="D365">
        <v>105</v>
      </c>
      <c r="E365" s="2" t="s">
        <v>102</v>
      </c>
      <c r="F365" s="2">
        <v>93.58</v>
      </c>
      <c r="G365" s="2" t="str">
        <f>IF(F365&gt;D365,"Yes","No")</f>
        <v>No</v>
      </c>
    </row>
    <row r="366" spans="1:7" x14ac:dyDescent="0.35">
      <c r="A366" s="2" t="s">
        <v>290</v>
      </c>
      <c r="B366" s="2" t="s">
        <v>291</v>
      </c>
      <c r="C366" s="3">
        <v>44301</v>
      </c>
      <c r="D366">
        <v>142</v>
      </c>
      <c r="E366" s="2" t="s">
        <v>293</v>
      </c>
      <c r="F366" s="2">
        <v>93.58</v>
      </c>
      <c r="G366" s="2" t="str">
        <f>IF(F366&gt;D366,"Yes","No")</f>
        <v>No</v>
      </c>
    </row>
    <row r="367" spans="1:7" x14ac:dyDescent="0.35">
      <c r="A367" s="2" t="s">
        <v>202</v>
      </c>
      <c r="B367" s="2" t="s">
        <v>203</v>
      </c>
      <c r="C367" s="3">
        <v>43609</v>
      </c>
      <c r="D367">
        <v>98</v>
      </c>
      <c r="E367" s="2" t="s">
        <v>20</v>
      </c>
      <c r="F367" s="2">
        <v>93.58</v>
      </c>
      <c r="G367" s="2" t="str">
        <f>IF(F367&gt;D367,"Yes","No")</f>
        <v>No</v>
      </c>
    </row>
    <row r="368" spans="1:7" x14ac:dyDescent="0.35">
      <c r="A368" s="2" t="s">
        <v>411</v>
      </c>
      <c r="B368" s="2" t="s">
        <v>412</v>
      </c>
      <c r="C368" s="3">
        <v>43938</v>
      </c>
      <c r="D368">
        <v>94</v>
      </c>
      <c r="E368" s="2" t="s">
        <v>125</v>
      </c>
      <c r="F368" s="2">
        <v>93.58</v>
      </c>
      <c r="G368" s="2" t="str">
        <f>IF(F368&gt;D368,"Yes","No")</f>
        <v>No</v>
      </c>
    </row>
    <row r="369" spans="1:7" x14ac:dyDescent="0.35">
      <c r="A369" s="2" t="s">
        <v>1103</v>
      </c>
      <c r="B369" s="2" t="s">
        <v>6</v>
      </c>
      <c r="C369" s="3">
        <v>44069</v>
      </c>
      <c r="D369">
        <v>106</v>
      </c>
      <c r="E369" s="2" t="s">
        <v>20</v>
      </c>
      <c r="F369" s="2">
        <v>93.58</v>
      </c>
      <c r="G369" s="2" t="str">
        <f>IF(F369&gt;D369,"Yes","No")</f>
        <v>No</v>
      </c>
    </row>
    <row r="370" spans="1:7" x14ac:dyDescent="0.35">
      <c r="A370" s="2" t="s">
        <v>1084</v>
      </c>
      <c r="B370" s="2" t="s">
        <v>979</v>
      </c>
      <c r="C370" s="3">
        <v>43872</v>
      </c>
      <c r="D370">
        <v>72</v>
      </c>
      <c r="E370" s="2" t="s">
        <v>12</v>
      </c>
      <c r="F370" s="2">
        <v>93.58</v>
      </c>
      <c r="G370" s="2" t="str">
        <f>IF(F370&gt;D370,"Yes","No")</f>
        <v>Yes</v>
      </c>
    </row>
    <row r="371" spans="1:7" x14ac:dyDescent="0.35">
      <c r="A371" s="2" t="s">
        <v>895</v>
      </c>
      <c r="B371" s="2" t="s">
        <v>896</v>
      </c>
      <c r="C371" s="3">
        <v>43686</v>
      </c>
      <c r="D371">
        <v>45</v>
      </c>
      <c r="E371" s="2" t="s">
        <v>20</v>
      </c>
      <c r="F371" s="2">
        <v>93.58</v>
      </c>
      <c r="G371" s="2" t="str">
        <f>IF(F371&gt;D371,"Yes","No")</f>
        <v>Yes</v>
      </c>
    </row>
    <row r="372" spans="1:7" x14ac:dyDescent="0.35">
      <c r="A372" s="2" t="s">
        <v>413</v>
      </c>
      <c r="B372" s="2" t="s">
        <v>414</v>
      </c>
      <c r="C372" s="3">
        <v>42853</v>
      </c>
      <c r="D372">
        <v>52</v>
      </c>
      <c r="E372" s="2" t="s">
        <v>20</v>
      </c>
      <c r="F372" s="2">
        <v>93.58</v>
      </c>
      <c r="G372" s="2" t="str">
        <f>IF(F372&gt;D372,"Yes","No")</f>
        <v>Yes</v>
      </c>
    </row>
    <row r="373" spans="1:7" x14ac:dyDescent="0.35">
      <c r="A373" s="2" t="s">
        <v>522</v>
      </c>
      <c r="B373" s="2" t="s">
        <v>287</v>
      </c>
      <c r="C373" s="3">
        <v>44134</v>
      </c>
      <c r="D373">
        <v>116</v>
      </c>
      <c r="E373" s="2" t="s">
        <v>88</v>
      </c>
      <c r="F373" s="2">
        <v>93.58</v>
      </c>
      <c r="G373" s="2" t="str">
        <f>IF(F373&gt;D373,"Yes","No")</f>
        <v>No</v>
      </c>
    </row>
    <row r="374" spans="1:7" x14ac:dyDescent="0.35">
      <c r="A374" s="2" t="s">
        <v>1062</v>
      </c>
      <c r="B374" s="2" t="s">
        <v>6</v>
      </c>
      <c r="C374" s="3">
        <v>43628</v>
      </c>
      <c r="D374">
        <v>144</v>
      </c>
      <c r="E374" s="2" t="s">
        <v>20</v>
      </c>
      <c r="F374" s="2">
        <v>93.58</v>
      </c>
      <c r="G374" s="2" t="str">
        <f>IF(F374&gt;D374,"Yes","No")</f>
        <v>No</v>
      </c>
    </row>
    <row r="375" spans="1:7" x14ac:dyDescent="0.35">
      <c r="A375" s="2" t="s">
        <v>1086</v>
      </c>
      <c r="B375" s="2" t="s">
        <v>43</v>
      </c>
      <c r="C375" s="3">
        <v>43448</v>
      </c>
      <c r="D375">
        <v>135</v>
      </c>
      <c r="E375" s="2" t="s">
        <v>12</v>
      </c>
      <c r="F375" s="2">
        <v>93.58</v>
      </c>
      <c r="G375" s="2" t="str">
        <f>IF(F375&gt;D375,"Yes","No")</f>
        <v>No</v>
      </c>
    </row>
    <row r="376" spans="1:7" x14ac:dyDescent="0.35">
      <c r="A376" s="2" t="s">
        <v>938</v>
      </c>
      <c r="B376" s="2" t="s">
        <v>6</v>
      </c>
      <c r="C376" s="3">
        <v>44119</v>
      </c>
      <c r="D376">
        <v>41</v>
      </c>
      <c r="E376" s="2" t="s">
        <v>939</v>
      </c>
      <c r="F376" s="2">
        <v>93.58</v>
      </c>
      <c r="G376" s="2" t="str">
        <f>IF(F376&gt;D376,"Yes","No")</f>
        <v>Yes</v>
      </c>
    </row>
    <row r="377" spans="1:7" x14ac:dyDescent="0.35">
      <c r="A377" s="2" t="s">
        <v>897</v>
      </c>
      <c r="B377" s="2" t="s">
        <v>29</v>
      </c>
      <c r="C377" s="3">
        <v>44174</v>
      </c>
      <c r="D377">
        <v>117</v>
      </c>
      <c r="E377" s="2" t="s">
        <v>16</v>
      </c>
      <c r="F377" s="2">
        <v>93.58</v>
      </c>
      <c r="G377" s="2" t="str">
        <f>IF(F377&gt;D377,"Yes","No")</f>
        <v>No</v>
      </c>
    </row>
    <row r="378" spans="1:7" x14ac:dyDescent="0.35">
      <c r="A378" s="2" t="s">
        <v>558</v>
      </c>
      <c r="B378" s="2" t="s">
        <v>391</v>
      </c>
      <c r="C378" s="3">
        <v>43182</v>
      </c>
      <c r="D378">
        <v>98</v>
      </c>
      <c r="E378" s="2" t="s">
        <v>20</v>
      </c>
      <c r="F378" s="2">
        <v>93.58</v>
      </c>
      <c r="G378" s="2" t="str">
        <f>IF(F378&gt;D378,"Yes","No")</f>
        <v>No</v>
      </c>
    </row>
    <row r="379" spans="1:7" x14ac:dyDescent="0.35">
      <c r="A379" s="2" t="s">
        <v>601</v>
      </c>
      <c r="B379" s="2" t="s">
        <v>602</v>
      </c>
      <c r="C379" s="3">
        <v>42846</v>
      </c>
      <c r="D379">
        <v>113</v>
      </c>
      <c r="E379" s="2" t="s">
        <v>20</v>
      </c>
      <c r="F379" s="2">
        <v>93.58</v>
      </c>
      <c r="G379" s="2" t="str">
        <f>IF(F379&gt;D379,"Yes","No")</f>
        <v>No</v>
      </c>
    </row>
    <row r="380" spans="1:7" x14ac:dyDescent="0.35">
      <c r="A380" s="2" t="s">
        <v>204</v>
      </c>
      <c r="B380" s="2" t="s">
        <v>29</v>
      </c>
      <c r="C380" s="3">
        <v>42839</v>
      </c>
      <c r="D380">
        <v>131</v>
      </c>
      <c r="E380" s="2" t="s">
        <v>20</v>
      </c>
      <c r="F380" s="2">
        <v>93.58</v>
      </c>
      <c r="G380" s="2" t="str">
        <f>IF(F380&gt;D380,"Yes","No")</f>
        <v>No</v>
      </c>
    </row>
    <row r="381" spans="1:7" x14ac:dyDescent="0.35">
      <c r="A381" s="2" t="s">
        <v>324</v>
      </c>
      <c r="B381" s="2" t="s">
        <v>210</v>
      </c>
      <c r="C381" s="3">
        <v>44131</v>
      </c>
      <c r="D381">
        <v>49</v>
      </c>
      <c r="E381" s="2" t="s">
        <v>20</v>
      </c>
      <c r="F381" s="2">
        <v>93.58</v>
      </c>
      <c r="G381" s="2" t="str">
        <f>IF(F381&gt;D381,"Yes","No")</f>
        <v>Yes</v>
      </c>
    </row>
    <row r="382" spans="1:7" x14ac:dyDescent="0.35">
      <c r="A382" s="2" t="s">
        <v>38</v>
      </c>
      <c r="B382" s="2" t="s">
        <v>29</v>
      </c>
      <c r="C382" s="3">
        <v>44334</v>
      </c>
      <c r="D382">
        <v>139</v>
      </c>
      <c r="E382" s="2" t="s">
        <v>24</v>
      </c>
      <c r="F382" s="2">
        <v>93.58</v>
      </c>
      <c r="G382" s="2" t="str">
        <f>IF(F382&gt;D382,"Yes","No")</f>
        <v>No</v>
      </c>
    </row>
    <row r="383" spans="1:7" x14ac:dyDescent="0.35">
      <c r="A383" s="2" t="s">
        <v>829</v>
      </c>
      <c r="B383" s="2" t="s">
        <v>6</v>
      </c>
      <c r="C383" s="3">
        <v>43060</v>
      </c>
      <c r="D383">
        <v>73</v>
      </c>
      <c r="E383" s="2" t="s">
        <v>20</v>
      </c>
      <c r="F383" s="2">
        <v>93.58</v>
      </c>
      <c r="G383" s="2" t="str">
        <f>IF(F383&gt;D383,"Yes","No")</f>
        <v>Yes</v>
      </c>
    </row>
    <row r="384" spans="1:7" x14ac:dyDescent="0.35">
      <c r="A384" s="2" t="s">
        <v>40</v>
      </c>
      <c r="B384" s="2" t="s">
        <v>6</v>
      </c>
      <c r="C384" s="3">
        <v>44308</v>
      </c>
      <c r="D384">
        <v>58</v>
      </c>
      <c r="E384" s="2" t="s">
        <v>20</v>
      </c>
      <c r="F384" s="2">
        <v>93.58</v>
      </c>
      <c r="G384" s="2" t="str">
        <f>IF(F384&gt;D384,"Yes","No")</f>
        <v>Yes</v>
      </c>
    </row>
    <row r="385" spans="1:7" x14ac:dyDescent="0.35">
      <c r="A385" s="2" t="s">
        <v>1109</v>
      </c>
      <c r="B385" s="2" t="s">
        <v>6</v>
      </c>
      <c r="C385" s="3">
        <v>44279</v>
      </c>
      <c r="D385">
        <v>89</v>
      </c>
      <c r="E385" s="2" t="s">
        <v>20</v>
      </c>
      <c r="F385" s="2">
        <v>93.58</v>
      </c>
      <c r="G385" s="2" t="str">
        <f>IF(F385&gt;D385,"Yes","No")</f>
        <v>Yes</v>
      </c>
    </row>
    <row r="386" spans="1:7" x14ac:dyDescent="0.35">
      <c r="A386" s="2" t="s">
        <v>70</v>
      </c>
      <c r="B386" s="2" t="s">
        <v>10</v>
      </c>
      <c r="C386" s="3">
        <v>43664</v>
      </c>
      <c r="D386">
        <v>97</v>
      </c>
      <c r="E386" s="2" t="s">
        <v>20</v>
      </c>
      <c r="F386" s="2">
        <v>93.58</v>
      </c>
      <c r="G386" s="2" t="str">
        <f>IF(F386&gt;D386,"Yes","No")</f>
        <v>No</v>
      </c>
    </row>
    <row r="387" spans="1:7" x14ac:dyDescent="0.35">
      <c r="A387" s="2" t="s">
        <v>1008</v>
      </c>
      <c r="B387" s="2" t="s">
        <v>6</v>
      </c>
      <c r="C387" s="3">
        <v>44132</v>
      </c>
      <c r="D387">
        <v>114</v>
      </c>
      <c r="E387" s="2" t="s">
        <v>1009</v>
      </c>
      <c r="F387" s="2">
        <v>93.58</v>
      </c>
      <c r="G387" s="2" t="str">
        <f>IF(F387&gt;D387,"Yes","No")</f>
        <v>No</v>
      </c>
    </row>
    <row r="388" spans="1:7" x14ac:dyDescent="0.35">
      <c r="A388" s="2" t="s">
        <v>206</v>
      </c>
      <c r="B388" s="2" t="s">
        <v>207</v>
      </c>
      <c r="C388" s="3">
        <v>43602</v>
      </c>
      <c r="D388">
        <v>87</v>
      </c>
      <c r="E388" s="2" t="s">
        <v>20</v>
      </c>
      <c r="F388" s="2">
        <v>93.58</v>
      </c>
      <c r="G388" s="2" t="str">
        <f>IF(F388&gt;D388,"Yes","No")</f>
        <v>Yes</v>
      </c>
    </row>
    <row r="389" spans="1:7" x14ac:dyDescent="0.35">
      <c r="A389" s="2" t="s">
        <v>864</v>
      </c>
      <c r="B389" s="2" t="s">
        <v>6</v>
      </c>
      <c r="C389" s="3">
        <v>43140</v>
      </c>
      <c r="D389">
        <v>95</v>
      </c>
      <c r="E389" s="2" t="s">
        <v>20</v>
      </c>
      <c r="F389" s="2">
        <v>93.58</v>
      </c>
      <c r="G389" s="2" t="str">
        <f>IF(F389&gt;D389,"Yes","No")</f>
        <v>No</v>
      </c>
    </row>
    <row r="390" spans="1:7" x14ac:dyDescent="0.35">
      <c r="A390" s="2" t="s">
        <v>114</v>
      </c>
      <c r="B390" s="2" t="s">
        <v>26</v>
      </c>
      <c r="C390" s="3">
        <v>44260</v>
      </c>
      <c r="D390">
        <v>80</v>
      </c>
      <c r="E390" s="2" t="s">
        <v>88</v>
      </c>
      <c r="F390" s="2">
        <v>93.58</v>
      </c>
      <c r="G390" s="2" t="str">
        <f>IF(F390&gt;D390,"Yes","No")</f>
        <v>Yes</v>
      </c>
    </row>
    <row r="391" spans="1:7" x14ac:dyDescent="0.35">
      <c r="A391" s="2" t="s">
        <v>523</v>
      </c>
      <c r="B391" s="2" t="s">
        <v>391</v>
      </c>
      <c r="C391" s="3">
        <v>43938</v>
      </c>
      <c r="D391">
        <v>118</v>
      </c>
      <c r="E391" s="2" t="s">
        <v>20</v>
      </c>
      <c r="F391" s="2">
        <v>93.58</v>
      </c>
      <c r="G391" s="2" t="str">
        <f>IF(F391&gt;D391,"Yes","No")</f>
        <v>No</v>
      </c>
    </row>
    <row r="392" spans="1:7" x14ac:dyDescent="0.35">
      <c r="A392" s="2" t="s">
        <v>831</v>
      </c>
      <c r="B392" s="2" t="s">
        <v>43</v>
      </c>
      <c r="C392" s="3">
        <v>44106</v>
      </c>
      <c r="D392">
        <v>114</v>
      </c>
      <c r="E392" s="2" t="s">
        <v>24</v>
      </c>
      <c r="F392" s="2">
        <v>93.58</v>
      </c>
      <c r="G392" s="2" t="str">
        <f>IF(F392&gt;D392,"Yes","No")</f>
        <v>No</v>
      </c>
    </row>
    <row r="393" spans="1:7" x14ac:dyDescent="0.35">
      <c r="A393" s="2" t="s">
        <v>84</v>
      </c>
      <c r="B393" s="2" t="s">
        <v>29</v>
      </c>
      <c r="C393" s="3">
        <v>44043</v>
      </c>
      <c r="D393">
        <v>107</v>
      </c>
      <c r="E393" s="2" t="s">
        <v>20</v>
      </c>
      <c r="F393" s="2">
        <v>93.58</v>
      </c>
      <c r="G393" s="2" t="str">
        <f>IF(F393&gt;D393,"Yes","No")</f>
        <v>No</v>
      </c>
    </row>
    <row r="394" spans="1:7" x14ac:dyDescent="0.35">
      <c r="A394" s="2" t="s">
        <v>725</v>
      </c>
      <c r="B394" s="2" t="s">
        <v>47</v>
      </c>
      <c r="C394" s="3">
        <v>43266</v>
      </c>
      <c r="D394">
        <v>105</v>
      </c>
      <c r="E394" s="2" t="s">
        <v>20</v>
      </c>
      <c r="F394" s="2">
        <v>93.58</v>
      </c>
      <c r="G394" s="2" t="str">
        <f>IF(F394&gt;D394,"Yes","No")</f>
        <v>No</v>
      </c>
    </row>
    <row r="395" spans="1:7" x14ac:dyDescent="0.35">
      <c r="A395" s="2" t="s">
        <v>966</v>
      </c>
      <c r="B395" s="2" t="s">
        <v>967</v>
      </c>
      <c r="C395" s="3">
        <v>43756</v>
      </c>
      <c r="D395">
        <v>99</v>
      </c>
      <c r="E395" s="2" t="s">
        <v>12</v>
      </c>
      <c r="F395" s="2">
        <v>93.58</v>
      </c>
      <c r="G395" s="2" t="str">
        <f>IF(F395&gt;D395,"Yes","No")</f>
        <v>No</v>
      </c>
    </row>
    <row r="396" spans="1:7" x14ac:dyDescent="0.35">
      <c r="A396" s="2" t="s">
        <v>72</v>
      </c>
      <c r="B396" s="2" t="s">
        <v>29</v>
      </c>
      <c r="C396" s="3">
        <v>43693</v>
      </c>
      <c r="D396">
        <v>99</v>
      </c>
      <c r="E396" s="2" t="s">
        <v>20</v>
      </c>
      <c r="F396" s="2">
        <v>93.58</v>
      </c>
      <c r="G396" s="2" t="str">
        <f>IF(F396&gt;D396,"Yes","No")</f>
        <v>No</v>
      </c>
    </row>
    <row r="397" spans="1:7" x14ac:dyDescent="0.35">
      <c r="A397" s="2" t="s">
        <v>749</v>
      </c>
      <c r="B397" s="2" t="s">
        <v>6</v>
      </c>
      <c r="C397" s="3">
        <v>44158</v>
      </c>
      <c r="D397">
        <v>83</v>
      </c>
      <c r="E397" s="2" t="s">
        <v>20</v>
      </c>
      <c r="F397" s="2">
        <v>93.58</v>
      </c>
      <c r="G397" s="2" t="str">
        <f>IF(F397&gt;D397,"Yes","No")</f>
        <v>Yes</v>
      </c>
    </row>
    <row r="398" spans="1:7" x14ac:dyDescent="0.35">
      <c r="A398" s="2" t="s">
        <v>1030</v>
      </c>
      <c r="B398" s="2" t="s">
        <v>631</v>
      </c>
      <c r="C398" s="3">
        <v>44160</v>
      </c>
      <c r="D398">
        <v>87</v>
      </c>
      <c r="E398" s="2" t="s">
        <v>20</v>
      </c>
      <c r="F398" s="2">
        <v>93.58</v>
      </c>
      <c r="G398" s="2" t="str">
        <f>IF(F398&gt;D398,"Yes","No")</f>
        <v>Yes</v>
      </c>
    </row>
    <row r="399" spans="1:7" x14ac:dyDescent="0.35">
      <c r="A399" s="2" t="s">
        <v>604</v>
      </c>
      <c r="B399" s="2" t="s">
        <v>605</v>
      </c>
      <c r="C399" s="3">
        <v>42895</v>
      </c>
      <c r="D399">
        <v>86</v>
      </c>
      <c r="E399" s="2" t="s">
        <v>20</v>
      </c>
      <c r="F399" s="2">
        <v>93.58</v>
      </c>
      <c r="G399" s="2" t="str">
        <f>IF(F399&gt;D399,"Yes","No")</f>
        <v>Yes</v>
      </c>
    </row>
    <row r="400" spans="1:7" x14ac:dyDescent="0.35">
      <c r="A400" s="2" t="s">
        <v>1031</v>
      </c>
      <c r="B400" s="2" t="s">
        <v>6</v>
      </c>
      <c r="C400" s="3">
        <v>43399</v>
      </c>
      <c r="D400">
        <v>97</v>
      </c>
      <c r="E400" s="2" t="s">
        <v>20</v>
      </c>
      <c r="F400" s="2">
        <v>93.58</v>
      </c>
      <c r="G400" s="2" t="str">
        <f>IF(F400&gt;D400,"Yes","No")</f>
        <v>No</v>
      </c>
    </row>
    <row r="401" spans="1:7" x14ac:dyDescent="0.35">
      <c r="A401" s="2" t="s">
        <v>416</v>
      </c>
      <c r="B401" s="2" t="s">
        <v>417</v>
      </c>
      <c r="C401" s="3">
        <v>43350</v>
      </c>
      <c r="D401">
        <v>105</v>
      </c>
      <c r="E401" s="2" t="s">
        <v>20</v>
      </c>
      <c r="F401" s="2">
        <v>93.58</v>
      </c>
      <c r="G401" s="2" t="str">
        <f>IF(F401&gt;D401,"Yes","No")</f>
        <v>No</v>
      </c>
    </row>
    <row r="402" spans="1:7" x14ac:dyDescent="0.35">
      <c r="A402" s="2" t="s">
        <v>1010</v>
      </c>
      <c r="B402" s="2" t="s">
        <v>693</v>
      </c>
      <c r="C402" s="3">
        <v>43898</v>
      </c>
      <c r="D402">
        <v>15</v>
      </c>
      <c r="E402" s="2" t="s">
        <v>20</v>
      </c>
      <c r="F402" s="2">
        <v>93.58</v>
      </c>
      <c r="G402" s="2" t="str">
        <f>IF(F402&gt;D402,"Yes","No")</f>
        <v>Yes</v>
      </c>
    </row>
    <row r="403" spans="1:7" x14ac:dyDescent="0.35">
      <c r="A403" s="2" t="s">
        <v>1012</v>
      </c>
      <c r="B403" s="2" t="s">
        <v>6</v>
      </c>
      <c r="C403" s="3">
        <v>42657</v>
      </c>
      <c r="D403">
        <v>79</v>
      </c>
      <c r="E403" s="2" t="s">
        <v>814</v>
      </c>
      <c r="F403" s="2">
        <v>93.58</v>
      </c>
      <c r="G403" s="2" t="str">
        <f>IF(F403&gt;D403,"Yes","No")</f>
        <v>Yes</v>
      </c>
    </row>
    <row r="404" spans="1:7" x14ac:dyDescent="0.35">
      <c r="A404" s="2" t="s">
        <v>418</v>
      </c>
      <c r="B404" s="2" t="s">
        <v>350</v>
      </c>
      <c r="C404" s="3">
        <v>42853</v>
      </c>
      <c r="D404">
        <v>95</v>
      </c>
      <c r="E404" s="2" t="s">
        <v>20</v>
      </c>
      <c r="F404" s="2">
        <v>93.58</v>
      </c>
      <c r="G404" s="2" t="str">
        <f>IF(F404&gt;D404,"Yes","No")</f>
        <v>No</v>
      </c>
    </row>
    <row r="405" spans="1:7" x14ac:dyDescent="0.35">
      <c r="A405" s="2" t="s">
        <v>116</v>
      </c>
      <c r="B405" s="2" t="s">
        <v>117</v>
      </c>
      <c r="C405" s="3">
        <v>43923</v>
      </c>
      <c r="D405">
        <v>4</v>
      </c>
      <c r="E405" s="2" t="s">
        <v>20</v>
      </c>
      <c r="F405" s="2">
        <v>93.58</v>
      </c>
      <c r="G405" s="2" t="str">
        <f>IF(F405&gt;D405,"Yes","No")</f>
        <v>Yes</v>
      </c>
    </row>
    <row r="406" spans="1:7" x14ac:dyDescent="0.35">
      <c r="A406" s="2" t="s">
        <v>559</v>
      </c>
      <c r="B406" s="2" t="s">
        <v>47</v>
      </c>
      <c r="C406" s="3">
        <v>43574</v>
      </c>
      <c r="D406">
        <v>92</v>
      </c>
      <c r="E406" s="2" t="s">
        <v>20</v>
      </c>
      <c r="F406" s="2">
        <v>93.58</v>
      </c>
      <c r="G406" s="2" t="str">
        <f>IF(F406&gt;D406,"Yes","No")</f>
        <v>Yes</v>
      </c>
    </row>
    <row r="407" spans="1:7" x14ac:dyDescent="0.35">
      <c r="A407" s="2" t="s">
        <v>968</v>
      </c>
      <c r="B407" s="2" t="s">
        <v>43</v>
      </c>
      <c r="C407" s="3">
        <v>43221</v>
      </c>
      <c r="D407">
        <v>101</v>
      </c>
      <c r="E407" s="2" t="s">
        <v>970</v>
      </c>
      <c r="F407" s="2">
        <v>93.58</v>
      </c>
      <c r="G407" s="2" t="str">
        <f>IF(F407&gt;D407,"Yes","No")</f>
        <v>No</v>
      </c>
    </row>
    <row r="408" spans="1:7" x14ac:dyDescent="0.35">
      <c r="A408" s="2" t="s">
        <v>971</v>
      </c>
      <c r="B408" s="2" t="s">
        <v>287</v>
      </c>
      <c r="C408" s="3">
        <v>43483</v>
      </c>
      <c r="D408">
        <v>97</v>
      </c>
      <c r="E408" s="2" t="s">
        <v>24</v>
      </c>
      <c r="F408" s="2">
        <v>93.58</v>
      </c>
      <c r="G408" s="2" t="str">
        <f>IF(F408&gt;D408,"Yes","No")</f>
        <v>No</v>
      </c>
    </row>
    <row r="409" spans="1:7" x14ac:dyDescent="0.35">
      <c r="A409" s="2" t="s">
        <v>751</v>
      </c>
      <c r="B409" s="2" t="s">
        <v>207</v>
      </c>
      <c r="C409" s="3">
        <v>44232</v>
      </c>
      <c r="D409">
        <v>136</v>
      </c>
      <c r="E409" s="2" t="s">
        <v>45</v>
      </c>
      <c r="F409" s="2">
        <v>93.58</v>
      </c>
      <c r="G409" s="2" t="str">
        <f>IF(F409&gt;D409,"Yes","No")</f>
        <v>No</v>
      </c>
    </row>
    <row r="410" spans="1:7" x14ac:dyDescent="0.35">
      <c r="A410" s="2" t="s">
        <v>419</v>
      </c>
      <c r="B410" s="2" t="s">
        <v>412</v>
      </c>
      <c r="C410" s="3">
        <v>42489</v>
      </c>
      <c r="D410">
        <v>100</v>
      </c>
      <c r="E410" s="2" t="s">
        <v>20</v>
      </c>
      <c r="F410" s="2">
        <v>93.58</v>
      </c>
      <c r="G410" s="2" t="str">
        <f>IF(F410&gt;D410,"Yes","No")</f>
        <v>No</v>
      </c>
    </row>
    <row r="411" spans="1:7" x14ac:dyDescent="0.35">
      <c r="A411" s="2" t="s">
        <v>607</v>
      </c>
      <c r="B411" s="2" t="s">
        <v>608</v>
      </c>
      <c r="C411" s="3">
        <v>42713</v>
      </c>
      <c r="D411">
        <v>108</v>
      </c>
      <c r="E411" s="2" t="s">
        <v>20</v>
      </c>
      <c r="F411" s="2">
        <v>93.58</v>
      </c>
      <c r="G411" s="2" t="str">
        <f>IF(F411&gt;D411,"Yes","No")</f>
        <v>No</v>
      </c>
    </row>
    <row r="412" spans="1:7" x14ac:dyDescent="0.35">
      <c r="A412" s="2" t="s">
        <v>865</v>
      </c>
      <c r="B412" s="2" t="s">
        <v>6</v>
      </c>
      <c r="C412" s="3">
        <v>43985</v>
      </c>
      <c r="D412">
        <v>83</v>
      </c>
      <c r="E412" s="2" t="s">
        <v>20</v>
      </c>
      <c r="F412" s="2">
        <v>93.58</v>
      </c>
      <c r="G412" s="2" t="str">
        <f>IF(F412&gt;D412,"Yes","No")</f>
        <v>Yes</v>
      </c>
    </row>
    <row r="413" spans="1:7" x14ac:dyDescent="0.35">
      <c r="A413" s="2" t="s">
        <v>561</v>
      </c>
      <c r="B413" s="2" t="s">
        <v>51</v>
      </c>
      <c r="C413" s="3">
        <v>43896</v>
      </c>
      <c r="D413">
        <v>111</v>
      </c>
      <c r="E413" s="2" t="s">
        <v>20</v>
      </c>
      <c r="F413" s="2">
        <v>93.58</v>
      </c>
      <c r="G413" s="2" t="str">
        <f>IF(F413&gt;D413,"Yes","No")</f>
        <v>No</v>
      </c>
    </row>
    <row r="414" spans="1:7" x14ac:dyDescent="0.35">
      <c r="A414" s="2" t="s">
        <v>1123</v>
      </c>
      <c r="B414" s="2" t="s">
        <v>414</v>
      </c>
      <c r="C414" s="3">
        <v>43450</v>
      </c>
      <c r="D414">
        <v>153</v>
      </c>
      <c r="E414" s="2" t="s">
        <v>20</v>
      </c>
      <c r="F414" s="2">
        <v>93.58</v>
      </c>
      <c r="G414" s="2" t="str">
        <f>IF(F414&gt;D414,"Yes","No")</f>
        <v>No</v>
      </c>
    </row>
    <row r="415" spans="1:7" x14ac:dyDescent="0.35">
      <c r="A415" s="2" t="s">
        <v>159</v>
      </c>
      <c r="B415" s="2" t="s">
        <v>47</v>
      </c>
      <c r="C415" s="3">
        <v>44238</v>
      </c>
      <c r="D415">
        <v>102</v>
      </c>
      <c r="E415" s="2" t="s">
        <v>133</v>
      </c>
      <c r="F415" s="2">
        <v>93.58</v>
      </c>
      <c r="G415" s="2" t="str">
        <f>IF(F415&gt;D415,"Yes","No")</f>
        <v>No</v>
      </c>
    </row>
    <row r="416" spans="1:7" x14ac:dyDescent="0.35">
      <c r="A416" s="2" t="s">
        <v>294</v>
      </c>
      <c r="B416" s="2" t="s">
        <v>29</v>
      </c>
      <c r="C416" s="3">
        <v>43119</v>
      </c>
      <c r="D416">
        <v>108</v>
      </c>
      <c r="E416" s="2" t="s">
        <v>20</v>
      </c>
      <c r="F416" s="2">
        <v>93.58</v>
      </c>
      <c r="G416" s="2" t="str">
        <f>IF(F416&gt;D416,"Yes","No")</f>
        <v>No</v>
      </c>
    </row>
    <row r="417" spans="1:7" x14ac:dyDescent="0.35">
      <c r="A417" s="2" t="s">
        <v>209</v>
      </c>
      <c r="B417" s="2" t="s">
        <v>210</v>
      </c>
      <c r="C417" s="3">
        <v>43599</v>
      </c>
      <c r="D417">
        <v>60</v>
      </c>
      <c r="E417" s="2" t="s">
        <v>20</v>
      </c>
      <c r="F417" s="2">
        <v>93.58</v>
      </c>
      <c r="G417" s="2" t="str">
        <f>IF(F417&gt;D417,"Yes","No")</f>
        <v>Yes</v>
      </c>
    </row>
    <row r="418" spans="1:7" x14ac:dyDescent="0.35">
      <c r="A418" s="2" t="s">
        <v>658</v>
      </c>
      <c r="B418" s="2" t="s">
        <v>43</v>
      </c>
      <c r="C418" s="3">
        <v>43750</v>
      </c>
      <c r="D418">
        <v>96</v>
      </c>
      <c r="E418" s="2" t="s">
        <v>88</v>
      </c>
      <c r="F418" s="2">
        <v>93.58</v>
      </c>
      <c r="G418" s="2" t="str">
        <f>IF(F418&gt;D418,"Yes","No")</f>
        <v>No</v>
      </c>
    </row>
    <row r="419" spans="1:7" x14ac:dyDescent="0.35">
      <c r="A419" s="2" t="s">
        <v>212</v>
      </c>
      <c r="B419" s="2" t="s">
        <v>6</v>
      </c>
      <c r="C419" s="3">
        <v>44232</v>
      </c>
      <c r="D419">
        <v>112</v>
      </c>
      <c r="E419" s="2" t="s">
        <v>20</v>
      </c>
      <c r="F419" s="2">
        <v>93.58</v>
      </c>
      <c r="G419" s="2" t="str">
        <f>IF(F419&gt;D419,"Yes","No")</f>
        <v>No</v>
      </c>
    </row>
    <row r="420" spans="1:7" x14ac:dyDescent="0.35">
      <c r="A420" s="2" t="s">
        <v>660</v>
      </c>
      <c r="B420" s="2" t="s">
        <v>6</v>
      </c>
      <c r="C420" s="3">
        <v>42993</v>
      </c>
      <c r="D420">
        <v>107</v>
      </c>
      <c r="E420" s="2" t="s">
        <v>20</v>
      </c>
      <c r="F420" s="2">
        <v>93.58</v>
      </c>
      <c r="G420" s="2" t="str">
        <f>IF(F420&gt;D420,"Yes","No")</f>
        <v>No</v>
      </c>
    </row>
    <row r="421" spans="1:7" x14ac:dyDescent="0.35">
      <c r="A421" s="2" t="s">
        <v>1099</v>
      </c>
      <c r="B421" s="2" t="s">
        <v>6</v>
      </c>
      <c r="C421" s="3">
        <v>43455</v>
      </c>
      <c r="D421">
        <v>105</v>
      </c>
      <c r="E421" s="2" t="s">
        <v>20</v>
      </c>
      <c r="F421" s="2">
        <v>93.58</v>
      </c>
      <c r="G421" s="2" t="str">
        <f>IF(F421&gt;D421,"Yes","No")</f>
        <v>No</v>
      </c>
    </row>
    <row r="422" spans="1:7" x14ac:dyDescent="0.35">
      <c r="A422" s="2" t="s">
        <v>524</v>
      </c>
      <c r="B422" s="2" t="s">
        <v>43</v>
      </c>
      <c r="C422" s="3">
        <v>44204</v>
      </c>
      <c r="D422">
        <v>96</v>
      </c>
      <c r="E422" s="2" t="s">
        <v>31</v>
      </c>
      <c r="F422" s="2">
        <v>93.58</v>
      </c>
      <c r="G422" s="2" t="str">
        <f>IF(F422&gt;D422,"Yes","No")</f>
        <v>No</v>
      </c>
    </row>
    <row r="423" spans="1:7" x14ac:dyDescent="0.35">
      <c r="A423" s="2" t="s">
        <v>662</v>
      </c>
      <c r="B423" s="2" t="s">
        <v>663</v>
      </c>
      <c r="C423" s="3">
        <v>43735</v>
      </c>
      <c r="D423">
        <v>41</v>
      </c>
      <c r="E423" s="2" t="s">
        <v>20</v>
      </c>
      <c r="F423" s="2">
        <v>93.58</v>
      </c>
      <c r="G423" s="2" t="str">
        <f>IF(F423&gt;D423,"Yes","No")</f>
        <v>Yes</v>
      </c>
    </row>
    <row r="424" spans="1:7" x14ac:dyDescent="0.35">
      <c r="A424" s="2" t="s">
        <v>134</v>
      </c>
      <c r="B424" s="2" t="s">
        <v>29</v>
      </c>
      <c r="C424" s="3">
        <v>42755</v>
      </c>
      <c r="D424">
        <v>80</v>
      </c>
      <c r="E424" s="2" t="s">
        <v>20</v>
      </c>
      <c r="F424" s="2">
        <v>93.58</v>
      </c>
      <c r="G424" s="2" t="str">
        <f>IF(F424&gt;D424,"Yes","No")</f>
        <v>Yes</v>
      </c>
    </row>
    <row r="425" spans="1:7" x14ac:dyDescent="0.35">
      <c r="A425" s="2" t="s">
        <v>664</v>
      </c>
      <c r="B425" s="2" t="s">
        <v>6</v>
      </c>
      <c r="C425" s="3">
        <v>43175</v>
      </c>
      <c r="D425">
        <v>87</v>
      </c>
      <c r="E425" s="2" t="s">
        <v>20</v>
      </c>
      <c r="F425" s="2">
        <v>93.58</v>
      </c>
      <c r="G425" s="2" t="str">
        <f>IF(F425&gt;D425,"Yes","No")</f>
        <v>Yes</v>
      </c>
    </row>
    <row r="426" spans="1:7" x14ac:dyDescent="0.35">
      <c r="A426" s="2" t="s">
        <v>214</v>
      </c>
      <c r="B426" s="2" t="s">
        <v>215</v>
      </c>
      <c r="C426" s="3">
        <v>43721</v>
      </c>
      <c r="D426">
        <v>102</v>
      </c>
      <c r="E426" s="2" t="s">
        <v>20</v>
      </c>
      <c r="F426" s="2">
        <v>93.58</v>
      </c>
      <c r="G426" s="2" t="str">
        <f>IF(F426&gt;D426,"Yes","No")</f>
        <v>No</v>
      </c>
    </row>
    <row r="427" spans="1:7" x14ac:dyDescent="0.35">
      <c r="A427" s="2" t="s">
        <v>797</v>
      </c>
      <c r="B427" s="2" t="s">
        <v>215</v>
      </c>
      <c r="C427" s="3">
        <v>42580</v>
      </c>
      <c r="D427">
        <v>111</v>
      </c>
      <c r="E427" s="2" t="s">
        <v>20</v>
      </c>
      <c r="F427" s="2">
        <v>93.58</v>
      </c>
      <c r="G427" s="2" t="str">
        <f>IF(F427&gt;D427,"Yes","No")</f>
        <v>No</v>
      </c>
    </row>
    <row r="428" spans="1:7" x14ac:dyDescent="0.35">
      <c r="A428" s="2" t="s">
        <v>421</v>
      </c>
      <c r="B428" s="2" t="s">
        <v>397</v>
      </c>
      <c r="C428" s="3">
        <v>43280</v>
      </c>
      <c r="D428">
        <v>97</v>
      </c>
      <c r="E428" s="2" t="s">
        <v>20</v>
      </c>
      <c r="F428" s="2">
        <v>93.58</v>
      </c>
      <c r="G428" s="2" t="str">
        <f>IF(F428&gt;D428,"Yes","No")</f>
        <v>No</v>
      </c>
    </row>
    <row r="429" spans="1:7" x14ac:dyDescent="0.35">
      <c r="A429" s="2" t="s">
        <v>1118</v>
      </c>
      <c r="B429" s="2" t="s">
        <v>631</v>
      </c>
      <c r="C429" s="3">
        <v>43465</v>
      </c>
      <c r="D429">
        <v>125</v>
      </c>
      <c r="E429" s="2" t="s">
        <v>20</v>
      </c>
      <c r="F429" s="2">
        <v>93.58</v>
      </c>
      <c r="G429" s="2" t="str">
        <f>IF(F429&gt;D429,"Yes","No")</f>
        <v>No</v>
      </c>
    </row>
    <row r="430" spans="1:7" x14ac:dyDescent="0.35">
      <c r="A430" s="2" t="s">
        <v>1014</v>
      </c>
      <c r="B430" s="2" t="s">
        <v>6</v>
      </c>
      <c r="C430" s="3">
        <v>42489</v>
      </c>
      <c r="D430">
        <v>90</v>
      </c>
      <c r="E430" s="2" t="s">
        <v>1015</v>
      </c>
      <c r="F430" s="2">
        <v>93.58</v>
      </c>
      <c r="G430" s="2" t="str">
        <f>IF(F430&gt;D430,"Yes","No")</f>
        <v>Yes</v>
      </c>
    </row>
    <row r="431" spans="1:7" x14ac:dyDescent="0.35">
      <c r="A431" s="2" t="s">
        <v>1064</v>
      </c>
      <c r="B431" s="2" t="s">
        <v>6</v>
      </c>
      <c r="C431" s="3">
        <v>43756</v>
      </c>
      <c r="D431">
        <v>85</v>
      </c>
      <c r="E431" s="2" t="s">
        <v>20</v>
      </c>
      <c r="F431" s="2">
        <v>93.58</v>
      </c>
      <c r="G431" s="2" t="str">
        <f>IF(F431&gt;D431,"Yes","No")</f>
        <v>Yes</v>
      </c>
    </row>
    <row r="432" spans="1:7" x14ac:dyDescent="0.35">
      <c r="A432" s="2" t="s">
        <v>526</v>
      </c>
      <c r="B432" s="2" t="s">
        <v>43</v>
      </c>
      <c r="C432" s="3">
        <v>44287</v>
      </c>
      <c r="D432">
        <v>114</v>
      </c>
      <c r="E432" s="2" t="s">
        <v>49</v>
      </c>
      <c r="F432" s="2">
        <v>93.58</v>
      </c>
      <c r="G432" s="2" t="str">
        <f>IF(F432&gt;D432,"Yes","No")</f>
        <v>No</v>
      </c>
    </row>
    <row r="433" spans="1:7" x14ac:dyDescent="0.35">
      <c r="A433" s="2" t="s">
        <v>972</v>
      </c>
      <c r="B433" s="2" t="s">
        <v>29</v>
      </c>
      <c r="C433" s="3">
        <v>44113</v>
      </c>
      <c r="D433">
        <v>124</v>
      </c>
      <c r="E433" s="2" t="s">
        <v>20</v>
      </c>
      <c r="F433" s="2">
        <v>93.58</v>
      </c>
      <c r="G433" s="2" t="str">
        <f>IF(F433&gt;D433,"Yes","No")</f>
        <v>No</v>
      </c>
    </row>
    <row r="434" spans="1:7" x14ac:dyDescent="0.35">
      <c r="A434" s="2" t="s">
        <v>423</v>
      </c>
      <c r="B434" s="2" t="s">
        <v>29</v>
      </c>
      <c r="C434" s="3">
        <v>43336</v>
      </c>
      <c r="D434">
        <v>89</v>
      </c>
      <c r="E434" s="2" t="s">
        <v>20</v>
      </c>
      <c r="F434" s="2">
        <v>93.58</v>
      </c>
      <c r="G434" s="2" t="str">
        <f>IF(F434&gt;D434,"Yes","No")</f>
        <v>Yes</v>
      </c>
    </row>
    <row r="435" spans="1:7" x14ac:dyDescent="0.35">
      <c r="A435" s="2" t="s">
        <v>752</v>
      </c>
      <c r="B435" s="2" t="s">
        <v>6</v>
      </c>
      <c r="C435" s="3">
        <v>43441</v>
      </c>
      <c r="D435">
        <v>98</v>
      </c>
      <c r="E435" s="2" t="s">
        <v>20</v>
      </c>
      <c r="F435" s="2">
        <v>93.58</v>
      </c>
      <c r="G435" s="2" t="str">
        <f>IF(F435&gt;D435,"Yes","No")</f>
        <v>No</v>
      </c>
    </row>
    <row r="436" spans="1:7" x14ac:dyDescent="0.35">
      <c r="A436" s="2" t="s">
        <v>753</v>
      </c>
      <c r="B436" s="2" t="s">
        <v>754</v>
      </c>
      <c r="C436" s="3">
        <v>43357</v>
      </c>
      <c r="D436">
        <v>114</v>
      </c>
      <c r="E436" s="2" t="s">
        <v>20</v>
      </c>
      <c r="F436" s="2">
        <v>93.58</v>
      </c>
      <c r="G436" s="2" t="str">
        <f>IF(F436&gt;D436,"Yes","No")</f>
        <v>No</v>
      </c>
    </row>
    <row r="437" spans="1:7" x14ac:dyDescent="0.35">
      <c r="A437" s="2" t="s">
        <v>13</v>
      </c>
      <c r="B437" s="2" t="s">
        <v>14</v>
      </c>
      <c r="C437" s="3">
        <v>43825</v>
      </c>
      <c r="D437">
        <v>79</v>
      </c>
      <c r="E437" s="2" t="s">
        <v>16</v>
      </c>
      <c r="F437" s="2">
        <v>93.58</v>
      </c>
      <c r="G437" s="2" t="str">
        <f>IF(F437&gt;D437,"Yes","No")</f>
        <v>Yes</v>
      </c>
    </row>
    <row r="438" spans="1:7" x14ac:dyDescent="0.35">
      <c r="A438" s="2" t="s">
        <v>610</v>
      </c>
      <c r="B438" s="2" t="s">
        <v>611</v>
      </c>
      <c r="C438" s="3">
        <v>43021</v>
      </c>
      <c r="D438">
        <v>85</v>
      </c>
      <c r="E438" s="2" t="s">
        <v>20</v>
      </c>
      <c r="F438" s="2">
        <v>93.58</v>
      </c>
      <c r="G438" s="2" t="str">
        <f>IF(F438&gt;D438,"Yes","No")</f>
        <v>Yes</v>
      </c>
    </row>
    <row r="439" spans="1:7" x14ac:dyDescent="0.35">
      <c r="A439" s="2" t="s">
        <v>425</v>
      </c>
      <c r="B439" s="2" t="s">
        <v>426</v>
      </c>
      <c r="C439" s="3">
        <v>44084</v>
      </c>
      <c r="D439">
        <v>102</v>
      </c>
      <c r="E439" s="2" t="s">
        <v>20</v>
      </c>
      <c r="F439" s="2">
        <v>93.58</v>
      </c>
      <c r="G439" s="2" t="str">
        <f>IF(F439&gt;D439,"Yes","No")</f>
        <v>No</v>
      </c>
    </row>
    <row r="440" spans="1:7" x14ac:dyDescent="0.35">
      <c r="A440" s="2" t="s">
        <v>1016</v>
      </c>
      <c r="B440" s="2" t="s">
        <v>139</v>
      </c>
      <c r="C440" s="3">
        <v>43420</v>
      </c>
      <c r="D440">
        <v>132</v>
      </c>
      <c r="E440" s="2" t="s">
        <v>20</v>
      </c>
      <c r="F440" s="2">
        <v>93.58</v>
      </c>
      <c r="G440" s="2" t="str">
        <f>IF(F440&gt;D440,"Yes","No")</f>
        <v>No</v>
      </c>
    </row>
    <row r="441" spans="1:7" x14ac:dyDescent="0.35">
      <c r="A441" s="2" t="s">
        <v>216</v>
      </c>
      <c r="B441" s="2" t="s">
        <v>43</v>
      </c>
      <c r="C441" s="3">
        <v>44162</v>
      </c>
      <c r="D441">
        <v>99</v>
      </c>
      <c r="E441" s="2" t="s">
        <v>16</v>
      </c>
      <c r="F441" s="2">
        <v>93.58</v>
      </c>
      <c r="G441" s="2" t="str">
        <f>IF(F441&gt;D441,"Yes","No")</f>
        <v>No</v>
      </c>
    </row>
    <row r="442" spans="1:7" x14ac:dyDescent="0.35">
      <c r="A442" s="2" t="s">
        <v>119</v>
      </c>
      <c r="B442" s="2" t="s">
        <v>43</v>
      </c>
      <c r="C442" s="3">
        <v>44106</v>
      </c>
      <c r="D442">
        <v>93</v>
      </c>
      <c r="E442" s="2" t="s">
        <v>16</v>
      </c>
      <c r="F442" s="2">
        <v>93.58</v>
      </c>
      <c r="G442" s="2" t="str">
        <f>IF(F442&gt;D442,"Yes","No")</f>
        <v>Yes</v>
      </c>
    </row>
    <row r="443" spans="1:7" x14ac:dyDescent="0.35">
      <c r="A443" s="2" t="s">
        <v>1032</v>
      </c>
      <c r="B443" s="2" t="s">
        <v>6</v>
      </c>
      <c r="C443" s="3">
        <v>43623</v>
      </c>
      <c r="D443">
        <v>118</v>
      </c>
      <c r="E443" s="2" t="s">
        <v>20</v>
      </c>
      <c r="F443" s="2">
        <v>93.58</v>
      </c>
      <c r="G443" s="2" t="str">
        <f>IF(F443&gt;D443,"Yes","No")</f>
        <v>No</v>
      </c>
    </row>
    <row r="444" spans="1:7" x14ac:dyDescent="0.35">
      <c r="A444" s="2" t="s">
        <v>1065</v>
      </c>
      <c r="B444" s="2" t="s">
        <v>6</v>
      </c>
      <c r="C444" s="3">
        <v>43308</v>
      </c>
      <c r="D444">
        <v>100</v>
      </c>
      <c r="E444" s="2" t="s">
        <v>20</v>
      </c>
      <c r="F444" s="2">
        <v>93.58</v>
      </c>
      <c r="G444" s="2" t="str">
        <f>IF(F444&gt;D444,"Yes","No")</f>
        <v>No</v>
      </c>
    </row>
    <row r="445" spans="1:7" x14ac:dyDescent="0.35">
      <c r="A445" s="2" t="s">
        <v>832</v>
      </c>
      <c r="B445" s="2" t="s">
        <v>43</v>
      </c>
      <c r="C445" s="3">
        <v>44104</v>
      </c>
      <c r="D445">
        <v>121</v>
      </c>
      <c r="E445" s="2" t="s">
        <v>20</v>
      </c>
      <c r="F445" s="2">
        <v>93.58</v>
      </c>
      <c r="G445" s="2" t="str">
        <f>IF(F445&gt;D445,"Yes","No")</f>
        <v>No</v>
      </c>
    </row>
    <row r="446" spans="1:7" x14ac:dyDescent="0.35">
      <c r="A446" s="2" t="s">
        <v>834</v>
      </c>
      <c r="B446" s="2" t="s">
        <v>180</v>
      </c>
      <c r="C446" s="3">
        <v>44104</v>
      </c>
      <c r="D446">
        <v>28</v>
      </c>
      <c r="E446" s="2" t="s">
        <v>20</v>
      </c>
      <c r="F446" s="2">
        <v>93.58</v>
      </c>
      <c r="G446" s="2" t="str">
        <f>IF(F446&gt;D446,"Yes","No")</f>
        <v>Yes</v>
      </c>
    </row>
    <row r="447" spans="1:7" x14ac:dyDescent="0.35">
      <c r="A447" s="2" t="s">
        <v>42</v>
      </c>
      <c r="B447" s="2" t="s">
        <v>43</v>
      </c>
      <c r="C447" s="3">
        <v>44162</v>
      </c>
      <c r="D447">
        <v>112</v>
      </c>
      <c r="E447" s="2" t="s">
        <v>45</v>
      </c>
      <c r="F447" s="2">
        <v>93.58</v>
      </c>
      <c r="G447" s="2" t="str">
        <f>IF(F447&gt;D447,"Yes","No")</f>
        <v>No</v>
      </c>
    </row>
    <row r="448" spans="1:7" x14ac:dyDescent="0.35">
      <c r="A448" s="2" t="s">
        <v>899</v>
      </c>
      <c r="B448" s="2" t="s">
        <v>900</v>
      </c>
      <c r="C448" s="3">
        <v>43426</v>
      </c>
      <c r="D448">
        <v>104</v>
      </c>
      <c r="E448" s="2" t="s">
        <v>20</v>
      </c>
      <c r="F448" s="2">
        <v>93.58</v>
      </c>
      <c r="G448" s="2" t="str">
        <f>IF(F448&gt;D448,"Yes","No")</f>
        <v>No</v>
      </c>
    </row>
    <row r="449" spans="1:7" x14ac:dyDescent="0.35">
      <c r="A449" s="2" t="s">
        <v>485</v>
      </c>
      <c r="B449" s="2" t="s">
        <v>486</v>
      </c>
      <c r="C449" s="3">
        <v>44160</v>
      </c>
      <c r="D449">
        <v>115</v>
      </c>
      <c r="E449" s="2" t="s">
        <v>20</v>
      </c>
      <c r="F449" s="2">
        <v>93.58</v>
      </c>
      <c r="G449" s="2" t="str">
        <f>IF(F449&gt;D449,"Yes","No")</f>
        <v>No</v>
      </c>
    </row>
    <row r="450" spans="1:7" x14ac:dyDescent="0.35">
      <c r="A450" s="2" t="s">
        <v>867</v>
      </c>
      <c r="B450" s="2" t="s">
        <v>6</v>
      </c>
      <c r="C450" s="3">
        <v>44022</v>
      </c>
      <c r="D450">
        <v>17</v>
      </c>
      <c r="E450" s="2" t="s">
        <v>20</v>
      </c>
      <c r="F450" s="2">
        <v>93.58</v>
      </c>
      <c r="G450" s="2" t="str">
        <f>IF(F450&gt;D450,"Yes","No")</f>
        <v>Yes</v>
      </c>
    </row>
    <row r="451" spans="1:7" x14ac:dyDescent="0.35">
      <c r="A451" s="2" t="s">
        <v>428</v>
      </c>
      <c r="B451" s="2" t="s">
        <v>429</v>
      </c>
      <c r="C451" s="3">
        <v>44172</v>
      </c>
      <c r="D451">
        <v>96</v>
      </c>
      <c r="E451" s="2" t="s">
        <v>83</v>
      </c>
      <c r="F451" s="2">
        <v>93.58</v>
      </c>
      <c r="G451" s="2" t="str">
        <f>IF(F451&gt;D451,"Yes","No")</f>
        <v>No</v>
      </c>
    </row>
    <row r="452" spans="1:7" x14ac:dyDescent="0.35">
      <c r="A452" s="2" t="s">
        <v>295</v>
      </c>
      <c r="B452" s="2" t="s">
        <v>207</v>
      </c>
      <c r="C452" s="3">
        <v>43135</v>
      </c>
      <c r="D452">
        <v>102</v>
      </c>
      <c r="E452" s="2" t="s">
        <v>20</v>
      </c>
      <c r="F452" s="2">
        <v>93.58</v>
      </c>
      <c r="G452" s="2" t="str">
        <f>IF(F452&gt;D452,"Yes","No")</f>
        <v>No</v>
      </c>
    </row>
    <row r="453" spans="1:7" x14ac:dyDescent="0.35">
      <c r="A453" s="2" t="s">
        <v>755</v>
      </c>
      <c r="B453" s="2" t="s">
        <v>287</v>
      </c>
      <c r="C453" s="3">
        <v>44063</v>
      </c>
      <c r="D453">
        <v>99</v>
      </c>
      <c r="E453" s="2" t="s">
        <v>12</v>
      </c>
      <c r="F453" s="2">
        <v>93.58</v>
      </c>
      <c r="G453" s="2" t="str">
        <f>IF(F453&gt;D453,"Yes","No")</f>
        <v>No</v>
      </c>
    </row>
    <row r="454" spans="1:7" x14ac:dyDescent="0.35">
      <c r="A454" s="2" t="s">
        <v>149</v>
      </c>
      <c r="B454" s="2" t="s">
        <v>43</v>
      </c>
      <c r="C454" s="3">
        <v>44134</v>
      </c>
      <c r="D454">
        <v>93</v>
      </c>
      <c r="E454" s="2" t="s">
        <v>12</v>
      </c>
      <c r="F454" s="2">
        <v>93.58</v>
      </c>
      <c r="G454" s="2" t="str">
        <f>IF(F454&gt;D454,"Yes","No")</f>
        <v>Yes</v>
      </c>
    </row>
    <row r="455" spans="1:7" x14ac:dyDescent="0.35">
      <c r="A455" s="2" t="s">
        <v>1017</v>
      </c>
      <c r="B455" s="2" t="s">
        <v>6</v>
      </c>
      <c r="C455" s="3">
        <v>43014</v>
      </c>
      <c r="D455">
        <v>105</v>
      </c>
      <c r="E455" s="2" t="s">
        <v>20</v>
      </c>
      <c r="F455" s="2">
        <v>93.58</v>
      </c>
      <c r="G455" s="2" t="str">
        <f>IF(F455&gt;D455,"Yes","No")</f>
        <v>No</v>
      </c>
    </row>
    <row r="456" spans="1:7" x14ac:dyDescent="0.35">
      <c r="A456" s="2" t="s">
        <v>457</v>
      </c>
      <c r="B456" s="2" t="s">
        <v>10</v>
      </c>
      <c r="C456" s="3">
        <v>43917</v>
      </c>
      <c r="D456">
        <v>83</v>
      </c>
      <c r="E456" s="2" t="s">
        <v>88</v>
      </c>
      <c r="F456" s="2">
        <v>93.58</v>
      </c>
      <c r="G456" s="2" t="str">
        <f>IF(F456&gt;D456,"Yes","No")</f>
        <v>Yes</v>
      </c>
    </row>
    <row r="457" spans="1:7" x14ac:dyDescent="0.35">
      <c r="A457" s="2" t="s">
        <v>940</v>
      </c>
      <c r="B457" s="2" t="s">
        <v>375</v>
      </c>
      <c r="C457" s="3">
        <v>44090</v>
      </c>
      <c r="D457">
        <v>138</v>
      </c>
      <c r="E457" s="2" t="s">
        <v>20</v>
      </c>
      <c r="F457" s="2">
        <v>93.58</v>
      </c>
      <c r="G457" s="2" t="str">
        <f>IF(F457&gt;D457,"Yes","No")</f>
        <v>No</v>
      </c>
    </row>
    <row r="458" spans="1:7" x14ac:dyDescent="0.35">
      <c r="A458" s="2" t="s">
        <v>941</v>
      </c>
      <c r="B458" s="2" t="s">
        <v>43</v>
      </c>
      <c r="C458" s="3">
        <v>44225</v>
      </c>
      <c r="D458">
        <v>112</v>
      </c>
      <c r="E458" s="2" t="s">
        <v>20</v>
      </c>
      <c r="F458" s="2">
        <v>93.58</v>
      </c>
      <c r="G458" s="2" t="str">
        <f>IF(F458&gt;D458,"Yes","No")</f>
        <v>No</v>
      </c>
    </row>
    <row r="459" spans="1:7" x14ac:dyDescent="0.35">
      <c r="A459" s="2" t="s">
        <v>902</v>
      </c>
      <c r="B459" s="2" t="s">
        <v>391</v>
      </c>
      <c r="C459" s="3">
        <v>43546</v>
      </c>
      <c r="D459">
        <v>108</v>
      </c>
      <c r="E459" s="2" t="s">
        <v>20</v>
      </c>
      <c r="F459" s="2">
        <v>93.58</v>
      </c>
      <c r="G459" s="2" t="str">
        <f>IF(F459&gt;D459,"Yes","No")</f>
        <v>No</v>
      </c>
    </row>
    <row r="460" spans="1:7" x14ac:dyDescent="0.35">
      <c r="A460" s="2" t="s">
        <v>973</v>
      </c>
      <c r="B460" s="2" t="s">
        <v>43</v>
      </c>
      <c r="C460" s="3">
        <v>44316</v>
      </c>
      <c r="D460">
        <v>129</v>
      </c>
      <c r="E460" s="2" t="s">
        <v>190</v>
      </c>
      <c r="F460" s="2">
        <v>93.58</v>
      </c>
      <c r="G460" s="2" t="str">
        <f>IF(F460&gt;D460,"Yes","No")</f>
        <v>No</v>
      </c>
    </row>
    <row r="461" spans="1:7" x14ac:dyDescent="0.35">
      <c r="A461" s="2" t="s">
        <v>613</v>
      </c>
      <c r="B461" s="2" t="s">
        <v>14</v>
      </c>
      <c r="C461" s="3">
        <v>42825</v>
      </c>
      <c r="D461">
        <v>102</v>
      </c>
      <c r="E461" s="2" t="s">
        <v>20</v>
      </c>
      <c r="F461" s="2">
        <v>93.58</v>
      </c>
      <c r="G461" s="2" t="str">
        <f>IF(F461&gt;D461,"Yes","No")</f>
        <v>No</v>
      </c>
    </row>
    <row r="462" spans="1:7" x14ac:dyDescent="0.35">
      <c r="A462" s="2" t="s">
        <v>370</v>
      </c>
      <c r="B462" s="2" t="s">
        <v>51</v>
      </c>
      <c r="C462" s="3">
        <v>42517</v>
      </c>
      <c r="D462">
        <v>108</v>
      </c>
      <c r="E462" s="2" t="s">
        <v>20</v>
      </c>
      <c r="F462" s="2">
        <v>93.58</v>
      </c>
      <c r="G462" s="2" t="str">
        <f>IF(F462&gt;D462,"Yes","No")</f>
        <v>No</v>
      </c>
    </row>
    <row r="463" spans="1:7" x14ac:dyDescent="0.35">
      <c r="A463" s="2" t="s">
        <v>975</v>
      </c>
      <c r="B463" s="2" t="s">
        <v>6</v>
      </c>
      <c r="C463" s="3">
        <v>43635</v>
      </c>
      <c r="D463">
        <v>121</v>
      </c>
      <c r="E463" s="2" t="s">
        <v>102</v>
      </c>
      <c r="F463" s="2">
        <v>93.58</v>
      </c>
      <c r="G463" s="2" t="str">
        <f>IF(F463&gt;D463,"Yes","No")</f>
        <v>No</v>
      </c>
    </row>
    <row r="464" spans="1:7" x14ac:dyDescent="0.35">
      <c r="A464" s="2" t="s">
        <v>615</v>
      </c>
      <c r="B464" s="2" t="s">
        <v>43</v>
      </c>
      <c r="C464" s="3">
        <v>43749</v>
      </c>
      <c r="D464">
        <v>151</v>
      </c>
      <c r="E464" s="2" t="s">
        <v>293</v>
      </c>
      <c r="F464" s="2">
        <v>93.58</v>
      </c>
      <c r="G464" s="2" t="str">
        <f>IF(F464&gt;D464,"Yes","No")</f>
        <v>No</v>
      </c>
    </row>
    <row r="465" spans="1:7" x14ac:dyDescent="0.35">
      <c r="A465" s="2" t="s">
        <v>1019</v>
      </c>
      <c r="B465" s="2" t="s">
        <v>215</v>
      </c>
      <c r="C465" s="3">
        <v>42545</v>
      </c>
      <c r="D465">
        <v>97</v>
      </c>
      <c r="E465" s="2" t="s">
        <v>20</v>
      </c>
      <c r="F465" s="2">
        <v>93.58</v>
      </c>
      <c r="G465" s="2" t="str">
        <f>IF(F465&gt;D465,"Yes","No")</f>
        <v>No</v>
      </c>
    </row>
    <row r="466" spans="1:7" x14ac:dyDescent="0.35">
      <c r="A466" s="2" t="s">
        <v>74</v>
      </c>
      <c r="B466" s="2" t="s">
        <v>10</v>
      </c>
      <c r="C466" s="3">
        <v>44253</v>
      </c>
      <c r="D466">
        <v>120</v>
      </c>
      <c r="E466" s="2" t="s">
        <v>24</v>
      </c>
      <c r="F466" s="2">
        <v>93.58</v>
      </c>
      <c r="G466" s="2" t="str">
        <f>IF(F466&gt;D466,"Yes","No")</f>
        <v>No</v>
      </c>
    </row>
    <row r="467" spans="1:7" x14ac:dyDescent="0.35">
      <c r="A467" s="2" t="s">
        <v>942</v>
      </c>
      <c r="B467" s="2" t="s">
        <v>6</v>
      </c>
      <c r="C467" s="3">
        <v>43670</v>
      </c>
      <c r="D467">
        <v>114</v>
      </c>
      <c r="E467" s="2" t="s">
        <v>20</v>
      </c>
      <c r="F467" s="2">
        <v>93.58</v>
      </c>
      <c r="G467" s="2" t="str">
        <f>IF(F467&gt;D467,"Yes","No")</f>
        <v>No</v>
      </c>
    </row>
    <row r="468" spans="1:7" x14ac:dyDescent="0.35">
      <c r="A468" s="2" t="s">
        <v>868</v>
      </c>
      <c r="B468" s="2" t="s">
        <v>322</v>
      </c>
      <c r="C468" s="3">
        <v>43952</v>
      </c>
      <c r="D468">
        <v>105</v>
      </c>
      <c r="E468" s="2" t="s">
        <v>20</v>
      </c>
      <c r="F468" s="2">
        <v>93.58</v>
      </c>
      <c r="G468" s="2" t="str">
        <f>IF(F468&gt;D468,"Yes","No")</f>
        <v>No</v>
      </c>
    </row>
    <row r="469" spans="1:7" x14ac:dyDescent="0.35">
      <c r="A469" s="2" t="s">
        <v>665</v>
      </c>
      <c r="B469" s="2" t="s">
        <v>215</v>
      </c>
      <c r="C469" s="3">
        <v>44210</v>
      </c>
      <c r="D469">
        <v>101</v>
      </c>
      <c r="E469" s="2" t="s">
        <v>49</v>
      </c>
      <c r="F469" s="2">
        <v>93.58</v>
      </c>
      <c r="G469" s="2" t="str">
        <f>IF(F469&gt;D469,"Yes","No")</f>
        <v>No</v>
      </c>
    </row>
    <row r="470" spans="1:7" x14ac:dyDescent="0.35">
      <c r="A470" s="2" t="s">
        <v>869</v>
      </c>
      <c r="B470" s="2" t="s">
        <v>287</v>
      </c>
      <c r="C470" s="3">
        <v>43553</v>
      </c>
      <c r="D470">
        <v>131</v>
      </c>
      <c r="E470" s="2" t="s">
        <v>20</v>
      </c>
      <c r="F470" s="2">
        <v>93.58</v>
      </c>
      <c r="G470" s="2" t="str">
        <f>IF(F470&gt;D470,"Yes","No")</f>
        <v>No</v>
      </c>
    </row>
    <row r="471" spans="1:7" x14ac:dyDescent="0.35">
      <c r="A471" s="2" t="s">
        <v>372</v>
      </c>
      <c r="B471" s="2" t="s">
        <v>47</v>
      </c>
      <c r="C471" s="3">
        <v>43406</v>
      </c>
      <c r="D471">
        <v>95</v>
      </c>
      <c r="E471" s="2" t="s">
        <v>20</v>
      </c>
      <c r="F471" s="2">
        <v>93.58</v>
      </c>
      <c r="G471" s="2" t="str">
        <f>IF(F471&gt;D471,"Yes","No")</f>
        <v>No</v>
      </c>
    </row>
    <row r="472" spans="1:7" x14ac:dyDescent="0.35">
      <c r="A472" s="2" t="s">
        <v>726</v>
      </c>
      <c r="B472" s="2" t="s">
        <v>29</v>
      </c>
      <c r="C472" s="3">
        <v>42944</v>
      </c>
      <c r="D472">
        <v>83</v>
      </c>
      <c r="E472" s="2" t="s">
        <v>20</v>
      </c>
      <c r="F472" s="2">
        <v>93.58</v>
      </c>
      <c r="G472" s="2" t="str">
        <f>IF(F472&gt;D472,"Yes","No")</f>
        <v>Yes</v>
      </c>
    </row>
    <row r="473" spans="1:7" x14ac:dyDescent="0.35">
      <c r="A473" s="2" t="s">
        <v>1089</v>
      </c>
      <c r="B473" s="2" t="s">
        <v>287</v>
      </c>
      <c r="C473" s="3">
        <v>43796</v>
      </c>
      <c r="D473">
        <v>209</v>
      </c>
      <c r="E473" s="2" t="s">
        <v>20</v>
      </c>
      <c r="F473" s="2">
        <v>93.58</v>
      </c>
      <c r="G473" s="2" t="str">
        <f>IF(F473&gt;D473,"Yes","No")</f>
        <v>No</v>
      </c>
    </row>
    <row r="474" spans="1:7" x14ac:dyDescent="0.35">
      <c r="A474" s="2" t="s">
        <v>1033</v>
      </c>
      <c r="B474" s="2" t="s">
        <v>180</v>
      </c>
      <c r="C474" s="3">
        <v>43796</v>
      </c>
      <c r="D474">
        <v>23</v>
      </c>
      <c r="E474" s="2" t="s">
        <v>20</v>
      </c>
      <c r="F474" s="2">
        <v>93.58</v>
      </c>
      <c r="G474" s="2" t="str">
        <f>IF(F474&gt;D474,"Yes","No")</f>
        <v>Yes</v>
      </c>
    </row>
    <row r="475" spans="1:7" x14ac:dyDescent="0.35">
      <c r="A475" s="2" t="s">
        <v>1097</v>
      </c>
      <c r="B475" s="2" t="s">
        <v>6</v>
      </c>
      <c r="C475" s="3">
        <v>42678</v>
      </c>
      <c r="D475">
        <v>112</v>
      </c>
      <c r="E475" s="2" t="s">
        <v>20</v>
      </c>
      <c r="F475" s="2">
        <v>93.58</v>
      </c>
      <c r="G475" s="2" t="str">
        <f>IF(F475&gt;D475,"Yes","No")</f>
        <v>No</v>
      </c>
    </row>
    <row r="476" spans="1:7" x14ac:dyDescent="0.35">
      <c r="A476" s="2" t="s">
        <v>528</v>
      </c>
      <c r="B476" s="2" t="s">
        <v>139</v>
      </c>
      <c r="C476" s="3">
        <v>43049</v>
      </c>
      <c r="D476">
        <v>99</v>
      </c>
      <c r="E476" s="2" t="s">
        <v>102</v>
      </c>
      <c r="F476" s="2">
        <v>93.58</v>
      </c>
      <c r="G476" s="2" t="str">
        <f>IF(F476&gt;D476,"Yes","No")</f>
        <v>No</v>
      </c>
    </row>
    <row r="477" spans="1:7" x14ac:dyDescent="0.35">
      <c r="A477" s="2" t="s">
        <v>976</v>
      </c>
      <c r="B477" s="2" t="s">
        <v>977</v>
      </c>
      <c r="C477" s="3">
        <v>43770</v>
      </c>
      <c r="D477">
        <v>140</v>
      </c>
      <c r="E477" s="2" t="s">
        <v>20</v>
      </c>
      <c r="F477" s="2">
        <v>93.58</v>
      </c>
      <c r="G477" s="2" t="str">
        <f>IF(F477&gt;D477,"Yes","No")</f>
        <v>No</v>
      </c>
    </row>
    <row r="478" spans="1:7" x14ac:dyDescent="0.35">
      <c r="A478" s="2" t="s">
        <v>488</v>
      </c>
      <c r="B478" s="2" t="s">
        <v>47</v>
      </c>
      <c r="C478" s="3">
        <v>43231</v>
      </c>
      <c r="D478">
        <v>105</v>
      </c>
      <c r="E478" s="2" t="s">
        <v>20</v>
      </c>
      <c r="F478" s="2">
        <v>93.58</v>
      </c>
      <c r="G478" s="2" t="str">
        <f>IF(F478&gt;D478,"Yes","No")</f>
        <v>No</v>
      </c>
    </row>
    <row r="479" spans="1:7" x14ac:dyDescent="0.35">
      <c r="A479" s="2" t="s">
        <v>431</v>
      </c>
      <c r="B479" s="2" t="s">
        <v>47</v>
      </c>
      <c r="C479" s="3">
        <v>44036</v>
      </c>
      <c r="D479">
        <v>131</v>
      </c>
      <c r="E479" s="2" t="s">
        <v>20</v>
      </c>
      <c r="F479" s="2">
        <v>93.58</v>
      </c>
      <c r="G479" s="2" t="str">
        <f>IF(F479&gt;D479,"Yes","No")</f>
        <v>No</v>
      </c>
    </row>
    <row r="480" spans="1:7" x14ac:dyDescent="0.35">
      <c r="A480" s="2" t="s">
        <v>297</v>
      </c>
      <c r="B480" s="2" t="s">
        <v>47</v>
      </c>
      <c r="C480" s="3">
        <v>43790</v>
      </c>
      <c r="D480">
        <v>92</v>
      </c>
      <c r="E480" s="2" t="s">
        <v>20</v>
      </c>
      <c r="F480" s="2">
        <v>93.58</v>
      </c>
      <c r="G480" s="2" t="str">
        <f>IF(F480&gt;D480,"Yes","No")</f>
        <v>Yes</v>
      </c>
    </row>
    <row r="481" spans="1:7" x14ac:dyDescent="0.35">
      <c r="A481" s="2" t="s">
        <v>562</v>
      </c>
      <c r="B481" s="2" t="s">
        <v>43</v>
      </c>
      <c r="C481" s="3">
        <v>43357</v>
      </c>
      <c r="D481">
        <v>98</v>
      </c>
      <c r="E481" s="2" t="s">
        <v>20</v>
      </c>
      <c r="F481" s="2">
        <v>93.58</v>
      </c>
      <c r="G481" s="2" t="str">
        <f>IF(F481&gt;D481,"Yes","No")</f>
        <v>No</v>
      </c>
    </row>
    <row r="482" spans="1:7" x14ac:dyDescent="0.35">
      <c r="A482" s="2" t="s">
        <v>174</v>
      </c>
      <c r="B482" s="2" t="s">
        <v>175</v>
      </c>
      <c r="C482" s="3">
        <v>44035</v>
      </c>
      <c r="D482">
        <v>90</v>
      </c>
      <c r="E482" s="2" t="s">
        <v>20</v>
      </c>
      <c r="F482" s="2">
        <v>93.58</v>
      </c>
      <c r="G482" s="2" t="str">
        <f>IF(F482&gt;D482,"Yes","No")</f>
        <v>Yes</v>
      </c>
    </row>
    <row r="483" spans="1:7" x14ac:dyDescent="0.35">
      <c r="A483" s="2" t="s">
        <v>32</v>
      </c>
      <c r="B483" s="2" t="s">
        <v>33</v>
      </c>
      <c r="C483" s="3">
        <v>43987</v>
      </c>
      <c r="D483">
        <v>149</v>
      </c>
      <c r="E483" s="2" t="s">
        <v>20</v>
      </c>
      <c r="F483" s="2">
        <v>93.58</v>
      </c>
      <c r="G483" s="2" t="str">
        <f>IF(F483&gt;D483,"Yes","No")</f>
        <v>No</v>
      </c>
    </row>
    <row r="484" spans="1:7" x14ac:dyDescent="0.35">
      <c r="A484" s="2" t="s">
        <v>326</v>
      </c>
      <c r="B484" s="2" t="s">
        <v>215</v>
      </c>
      <c r="C484" s="3">
        <v>43476</v>
      </c>
      <c r="D484">
        <v>98</v>
      </c>
      <c r="E484" s="2" t="s">
        <v>20</v>
      </c>
      <c r="F484" s="2">
        <v>93.58</v>
      </c>
      <c r="G484" s="2" t="str">
        <f>IF(F484&gt;D484,"Yes","No")</f>
        <v>No</v>
      </c>
    </row>
    <row r="485" spans="1:7" x14ac:dyDescent="0.35">
      <c r="A485" s="2" t="s">
        <v>328</v>
      </c>
      <c r="B485" s="2" t="s">
        <v>172</v>
      </c>
      <c r="C485" s="3">
        <v>44232</v>
      </c>
      <c r="D485">
        <v>107</v>
      </c>
      <c r="E485" s="2" t="s">
        <v>16</v>
      </c>
      <c r="F485" s="2">
        <v>93.58</v>
      </c>
      <c r="G485" s="2" t="str">
        <f>IF(F485&gt;D485,"Yes","No")</f>
        <v>No</v>
      </c>
    </row>
    <row r="486" spans="1:7" x14ac:dyDescent="0.35">
      <c r="A486" s="2" t="s">
        <v>61</v>
      </c>
      <c r="B486" s="2" t="s">
        <v>62</v>
      </c>
      <c r="C486" s="3">
        <v>43882</v>
      </c>
      <c r="D486">
        <v>115</v>
      </c>
      <c r="E486" s="2" t="s">
        <v>20</v>
      </c>
      <c r="F486" s="2">
        <v>93.58</v>
      </c>
      <c r="G486" s="2" t="str">
        <f>IF(F486&gt;D486,"Yes","No")</f>
        <v>No</v>
      </c>
    </row>
    <row r="487" spans="1:7" x14ac:dyDescent="0.35">
      <c r="A487" s="2" t="s">
        <v>617</v>
      </c>
      <c r="B487" s="2" t="s">
        <v>215</v>
      </c>
      <c r="C487" s="3">
        <v>43756</v>
      </c>
      <c r="D487">
        <v>98</v>
      </c>
      <c r="E487" s="2" t="s">
        <v>20</v>
      </c>
      <c r="F487" s="2">
        <v>93.58</v>
      </c>
      <c r="G487" s="2" t="str">
        <f>IF(F487&gt;D487,"Yes","No")</f>
        <v>No</v>
      </c>
    </row>
    <row r="488" spans="1:7" x14ac:dyDescent="0.35">
      <c r="A488" s="2" t="s">
        <v>299</v>
      </c>
      <c r="B488" s="2" t="s">
        <v>300</v>
      </c>
      <c r="C488" s="3">
        <v>43287</v>
      </c>
      <c r="D488">
        <v>83</v>
      </c>
      <c r="E488" s="2" t="s">
        <v>20</v>
      </c>
      <c r="F488" s="2">
        <v>93.58</v>
      </c>
      <c r="G488" s="2" t="str">
        <f>IF(F488&gt;D488,"Yes","No")</f>
        <v>Yes</v>
      </c>
    </row>
    <row r="489" spans="1:7" x14ac:dyDescent="0.35">
      <c r="A489" s="2" t="s">
        <v>618</v>
      </c>
      <c r="B489" s="2" t="s">
        <v>6</v>
      </c>
      <c r="C489" s="3">
        <v>43553</v>
      </c>
      <c r="D489">
        <v>87</v>
      </c>
      <c r="E489" s="2" t="s">
        <v>20</v>
      </c>
      <c r="F489" s="2">
        <v>93.58</v>
      </c>
      <c r="G489" s="2" t="str">
        <f>IF(F489&gt;D489,"Yes","No")</f>
        <v>Yes</v>
      </c>
    </row>
    <row r="490" spans="1:7" x14ac:dyDescent="0.35">
      <c r="A490" s="2" t="s">
        <v>835</v>
      </c>
      <c r="B490" s="2" t="s">
        <v>43</v>
      </c>
      <c r="C490" s="3">
        <v>44148</v>
      </c>
      <c r="D490">
        <v>95</v>
      </c>
      <c r="E490" s="2" t="s">
        <v>16</v>
      </c>
      <c r="F490" s="2">
        <v>93.58</v>
      </c>
      <c r="G490" s="2" t="str">
        <f>IF(F490&gt;D490,"Yes","No")</f>
        <v>No</v>
      </c>
    </row>
    <row r="491" spans="1:7" x14ac:dyDescent="0.35">
      <c r="A491" s="2" t="s">
        <v>870</v>
      </c>
      <c r="B491" s="2" t="s">
        <v>267</v>
      </c>
      <c r="C491" s="3">
        <v>43608</v>
      </c>
      <c r="D491">
        <v>30</v>
      </c>
      <c r="E491" s="2" t="s">
        <v>20</v>
      </c>
      <c r="F491" s="2">
        <v>93.58</v>
      </c>
      <c r="G491" s="2" t="str">
        <f>IF(F491&gt;D491,"Yes","No")</f>
        <v>Yes</v>
      </c>
    </row>
    <row r="492" spans="1:7" x14ac:dyDescent="0.35">
      <c r="A492" s="2" t="s">
        <v>530</v>
      </c>
      <c r="B492" s="2" t="s">
        <v>47</v>
      </c>
      <c r="C492" s="3">
        <v>43973</v>
      </c>
      <c r="D492">
        <v>87</v>
      </c>
      <c r="E492" s="2" t="s">
        <v>20</v>
      </c>
      <c r="F492" s="2">
        <v>93.58</v>
      </c>
      <c r="G492" s="2" t="str">
        <f>IF(F492&gt;D492,"Yes","No")</f>
        <v>Yes</v>
      </c>
    </row>
    <row r="493" spans="1:7" x14ac:dyDescent="0.35">
      <c r="A493" s="2" t="s">
        <v>136</v>
      </c>
      <c r="B493" s="2" t="s">
        <v>29</v>
      </c>
      <c r="C493" s="3">
        <v>43931</v>
      </c>
      <c r="D493">
        <v>101</v>
      </c>
      <c r="E493" s="2" t="s">
        <v>20</v>
      </c>
      <c r="F493" s="2">
        <v>93.58</v>
      </c>
      <c r="G493" s="2" t="str">
        <f>IF(F493&gt;D493,"Yes","No")</f>
        <v>No</v>
      </c>
    </row>
    <row r="494" spans="1:7" x14ac:dyDescent="0.35">
      <c r="A494" s="2" t="s">
        <v>667</v>
      </c>
      <c r="B494" s="2" t="s">
        <v>6</v>
      </c>
      <c r="C494" s="3">
        <v>42860</v>
      </c>
      <c r="D494">
        <v>97</v>
      </c>
      <c r="E494" s="2" t="s">
        <v>20</v>
      </c>
      <c r="F494" s="2">
        <v>93.58</v>
      </c>
      <c r="G494" s="2" t="str">
        <f>IF(F494&gt;D494,"Yes","No")</f>
        <v>No</v>
      </c>
    </row>
    <row r="495" spans="1:7" x14ac:dyDescent="0.35">
      <c r="A495" s="2" t="s">
        <v>872</v>
      </c>
      <c r="B495" s="2" t="s">
        <v>215</v>
      </c>
      <c r="C495" s="3">
        <v>43021</v>
      </c>
      <c r="D495">
        <v>112</v>
      </c>
      <c r="E495" s="2" t="s">
        <v>20</v>
      </c>
      <c r="F495" s="2">
        <v>93.58</v>
      </c>
      <c r="G495" s="2" t="str">
        <f>IF(F495&gt;D495,"Yes","No")</f>
        <v>No</v>
      </c>
    </row>
    <row r="496" spans="1:7" x14ac:dyDescent="0.35">
      <c r="A496" s="2" t="s">
        <v>329</v>
      </c>
      <c r="B496" s="2" t="s">
        <v>207</v>
      </c>
      <c r="C496" s="3">
        <v>44188</v>
      </c>
      <c r="D496">
        <v>118</v>
      </c>
      <c r="E496" s="2" t="s">
        <v>20</v>
      </c>
      <c r="F496" s="2">
        <v>93.58</v>
      </c>
      <c r="G496" s="2" t="str">
        <f>IF(F496&gt;D496,"Yes","No")</f>
        <v>No</v>
      </c>
    </row>
    <row r="497" spans="1:7" x14ac:dyDescent="0.35">
      <c r="A497" s="2" t="s">
        <v>458</v>
      </c>
      <c r="B497" s="2" t="s">
        <v>6</v>
      </c>
      <c r="C497" s="3">
        <v>44197</v>
      </c>
      <c r="D497">
        <v>53</v>
      </c>
      <c r="E497" s="2" t="s">
        <v>20</v>
      </c>
      <c r="F497" s="2">
        <v>93.58</v>
      </c>
      <c r="G497" s="2" t="str">
        <f>IF(F497&gt;D497,"Yes","No")</f>
        <v>Yes</v>
      </c>
    </row>
    <row r="498" spans="1:7" x14ac:dyDescent="0.35">
      <c r="A498" s="2" t="s">
        <v>86</v>
      </c>
      <c r="B498" s="2" t="s">
        <v>29</v>
      </c>
      <c r="C498" s="3">
        <v>44237</v>
      </c>
      <c r="D498">
        <v>99</v>
      </c>
      <c r="E498" s="2" t="s">
        <v>88</v>
      </c>
      <c r="F498" s="2">
        <v>93.58</v>
      </c>
      <c r="G498" s="2" t="str">
        <f>IF(F498&gt;D498,"Yes","No")</f>
        <v>No</v>
      </c>
    </row>
    <row r="499" spans="1:7" x14ac:dyDescent="0.35">
      <c r="A499" s="2" t="s">
        <v>229</v>
      </c>
      <c r="B499" s="2" t="s">
        <v>10</v>
      </c>
      <c r="C499" s="3">
        <v>43350</v>
      </c>
      <c r="D499">
        <v>102</v>
      </c>
      <c r="E499" s="2" t="s">
        <v>88</v>
      </c>
      <c r="F499" s="2">
        <v>93.58</v>
      </c>
      <c r="G499" s="2" t="str">
        <f>IF(F499&gt;D499,"Yes","No")</f>
        <v>No</v>
      </c>
    </row>
    <row r="500" spans="1:7" x14ac:dyDescent="0.35">
      <c r="A500" s="2" t="s">
        <v>532</v>
      </c>
      <c r="B500" s="2" t="s">
        <v>391</v>
      </c>
      <c r="C500" s="3">
        <v>42818</v>
      </c>
      <c r="D500">
        <v>92</v>
      </c>
      <c r="E500" s="2" t="s">
        <v>20</v>
      </c>
      <c r="F500" s="2">
        <v>93.58</v>
      </c>
      <c r="G500" s="2" t="str">
        <f>IF(F500&gt;D500,"Yes","No")</f>
        <v>Yes</v>
      </c>
    </row>
    <row r="501" spans="1:7" x14ac:dyDescent="0.35">
      <c r="A501" s="2" t="s">
        <v>903</v>
      </c>
      <c r="B501" s="2" t="s">
        <v>153</v>
      </c>
      <c r="C501" s="3">
        <v>43392</v>
      </c>
      <c r="D501">
        <v>121</v>
      </c>
      <c r="E501" s="2" t="s">
        <v>49</v>
      </c>
      <c r="F501" s="2">
        <v>93.58</v>
      </c>
      <c r="G501" s="2" t="str">
        <f>IF(F501&gt;D501,"Yes","No")</f>
        <v>No</v>
      </c>
    </row>
    <row r="502" spans="1:7" x14ac:dyDescent="0.35">
      <c r="A502" s="2" t="s">
        <v>668</v>
      </c>
      <c r="B502" s="2" t="s">
        <v>10</v>
      </c>
      <c r="C502" s="3">
        <v>43915</v>
      </c>
      <c r="D502">
        <v>103</v>
      </c>
      <c r="E502" s="2" t="s">
        <v>12</v>
      </c>
      <c r="F502" s="2">
        <v>93.58</v>
      </c>
      <c r="G502" s="2" t="str">
        <f>IF(F502&gt;D502,"Yes","No")</f>
        <v>No</v>
      </c>
    </row>
    <row r="503" spans="1:7" x14ac:dyDescent="0.35">
      <c r="A503" s="2" t="s">
        <v>799</v>
      </c>
      <c r="B503" s="2" t="s">
        <v>800</v>
      </c>
      <c r="C503" s="3">
        <v>44022</v>
      </c>
      <c r="D503">
        <v>124</v>
      </c>
      <c r="E503" s="2" t="s">
        <v>20</v>
      </c>
      <c r="F503" s="2">
        <v>93.58</v>
      </c>
      <c r="G503" s="2" t="str">
        <f>IF(F503&gt;D503,"Yes","No")</f>
        <v>No</v>
      </c>
    </row>
    <row r="504" spans="1:7" x14ac:dyDescent="0.35">
      <c r="A504" s="2" t="s">
        <v>17</v>
      </c>
      <c r="B504" s="2" t="s">
        <v>18</v>
      </c>
      <c r="C504" s="3">
        <v>43119</v>
      </c>
      <c r="D504">
        <v>94</v>
      </c>
      <c r="E504" s="2" t="s">
        <v>20</v>
      </c>
      <c r="F504" s="2">
        <v>93.58</v>
      </c>
      <c r="G504" s="2" t="str">
        <f>IF(F504&gt;D504,"Yes","No")</f>
        <v>No</v>
      </c>
    </row>
    <row r="505" spans="1:7" x14ac:dyDescent="0.35">
      <c r="A505" s="2" t="s">
        <v>1021</v>
      </c>
      <c r="B505" s="2" t="s">
        <v>6</v>
      </c>
      <c r="C505" s="3">
        <v>42146</v>
      </c>
      <c r="D505">
        <v>83</v>
      </c>
      <c r="E505" s="2" t="s">
        <v>20</v>
      </c>
      <c r="F505" s="2">
        <v>93.58</v>
      </c>
      <c r="G505" s="2" t="str">
        <f>IF(F505&gt;D505,"Yes","No")</f>
        <v>Yes</v>
      </c>
    </row>
    <row r="506" spans="1:7" x14ac:dyDescent="0.35">
      <c r="A506" s="2" t="s">
        <v>836</v>
      </c>
      <c r="B506" s="2" t="s">
        <v>43</v>
      </c>
      <c r="C506" s="3">
        <v>43406</v>
      </c>
      <c r="D506">
        <v>122</v>
      </c>
      <c r="E506" s="2" t="s">
        <v>20</v>
      </c>
      <c r="F506" s="2">
        <v>93.58</v>
      </c>
      <c r="G506" s="2" t="str">
        <f>IF(F506&gt;D506,"Yes","No")</f>
        <v>No</v>
      </c>
    </row>
    <row r="507" spans="1:7" x14ac:dyDescent="0.35">
      <c r="A507" s="2" t="s">
        <v>619</v>
      </c>
      <c r="B507" s="2" t="s">
        <v>287</v>
      </c>
      <c r="C507" s="3">
        <v>43168</v>
      </c>
      <c r="D507">
        <v>120</v>
      </c>
      <c r="E507" s="2" t="s">
        <v>8</v>
      </c>
      <c r="F507" s="2">
        <v>93.58</v>
      </c>
      <c r="G507" s="2" t="str">
        <f>IF(F507&gt;D507,"Yes","No")</f>
        <v>No</v>
      </c>
    </row>
    <row r="508" spans="1:7" x14ac:dyDescent="0.35">
      <c r="A508" s="2" t="s">
        <v>302</v>
      </c>
      <c r="B508" s="2" t="s">
        <v>303</v>
      </c>
      <c r="C508" s="3">
        <v>43322</v>
      </c>
      <c r="D508">
        <v>94</v>
      </c>
      <c r="E508" s="2" t="s">
        <v>20</v>
      </c>
      <c r="F508" s="2">
        <v>93.58</v>
      </c>
      <c r="G508" s="2" t="str">
        <f>IF(F508&gt;D508,"Yes","No")</f>
        <v>No</v>
      </c>
    </row>
    <row r="509" spans="1:7" x14ac:dyDescent="0.35">
      <c r="A509" s="2" t="s">
        <v>331</v>
      </c>
      <c r="B509" s="2" t="s">
        <v>10</v>
      </c>
      <c r="C509" s="3">
        <v>44090</v>
      </c>
      <c r="D509">
        <v>94</v>
      </c>
      <c r="E509" s="2" t="s">
        <v>12</v>
      </c>
      <c r="F509" s="2">
        <v>93.58</v>
      </c>
      <c r="G509" s="2" t="str">
        <f>IF(F509&gt;D509,"Yes","No")</f>
        <v>No</v>
      </c>
    </row>
    <row r="510" spans="1:7" x14ac:dyDescent="0.35">
      <c r="A510" s="2" t="s">
        <v>433</v>
      </c>
      <c r="B510" s="2" t="s">
        <v>47</v>
      </c>
      <c r="C510" s="3">
        <v>43567</v>
      </c>
      <c r="D510">
        <v>89</v>
      </c>
      <c r="E510" s="2" t="s">
        <v>20</v>
      </c>
      <c r="F510" s="2">
        <v>93.58</v>
      </c>
      <c r="G510" s="2" t="str">
        <f>IF(F510&gt;D510,"Yes","No")</f>
        <v>Yes</v>
      </c>
    </row>
    <row r="511" spans="1:7" x14ac:dyDescent="0.35">
      <c r="A511" s="2" t="s">
        <v>534</v>
      </c>
      <c r="B511" s="2" t="s">
        <v>535</v>
      </c>
      <c r="C511" s="3">
        <v>43609</v>
      </c>
      <c r="D511">
        <v>90</v>
      </c>
      <c r="E511" s="2" t="s">
        <v>20</v>
      </c>
      <c r="F511" s="2">
        <v>93.58</v>
      </c>
      <c r="G511" s="2" t="str">
        <f>IF(F511&gt;D511,"Yes","No")</f>
        <v>Yes</v>
      </c>
    </row>
    <row r="512" spans="1:7" x14ac:dyDescent="0.35">
      <c r="A512" s="2" t="s">
        <v>105</v>
      </c>
      <c r="B512" s="2" t="s">
        <v>29</v>
      </c>
      <c r="C512" s="3">
        <v>44027</v>
      </c>
      <c r="D512">
        <v>88</v>
      </c>
      <c r="E512" s="2" t="s">
        <v>16</v>
      </c>
      <c r="F512" s="2">
        <v>93.58</v>
      </c>
      <c r="G512" s="2" t="str">
        <f>IF(F512&gt;D512,"Yes","No")</f>
        <v>Yes</v>
      </c>
    </row>
    <row r="513" spans="1:7" x14ac:dyDescent="0.35">
      <c r="A513" s="2" t="s">
        <v>459</v>
      </c>
      <c r="B513" s="2" t="s">
        <v>215</v>
      </c>
      <c r="C513" s="3">
        <v>43112</v>
      </c>
      <c r="D513">
        <v>95</v>
      </c>
      <c r="E513" s="2" t="s">
        <v>20</v>
      </c>
      <c r="F513" s="2">
        <v>93.58</v>
      </c>
      <c r="G513" s="2" t="str">
        <f>IF(F513&gt;D513,"Yes","No")</f>
        <v>No</v>
      </c>
    </row>
    <row r="514" spans="1:7" x14ac:dyDescent="0.35">
      <c r="A514" s="2" t="s">
        <v>490</v>
      </c>
      <c r="B514" s="2" t="s">
        <v>47</v>
      </c>
      <c r="C514" s="3">
        <v>43420</v>
      </c>
      <c r="D514">
        <v>101</v>
      </c>
      <c r="E514" s="2" t="s">
        <v>20</v>
      </c>
      <c r="F514" s="2">
        <v>93.58</v>
      </c>
      <c r="G514" s="2" t="str">
        <f>IF(F514&gt;D514,"Yes","No")</f>
        <v>No</v>
      </c>
    </row>
    <row r="515" spans="1:7" x14ac:dyDescent="0.35">
      <c r="A515" s="2" t="s">
        <v>261</v>
      </c>
      <c r="B515" s="2" t="s">
        <v>47</v>
      </c>
      <c r="C515" s="3">
        <v>44154</v>
      </c>
      <c r="D515">
        <v>97</v>
      </c>
      <c r="E515" s="2" t="s">
        <v>20</v>
      </c>
      <c r="F515" s="2">
        <v>93.58</v>
      </c>
      <c r="G515" s="2" t="str">
        <f>IF(F515&gt;D515,"Yes","No")</f>
        <v>No</v>
      </c>
    </row>
    <row r="516" spans="1:7" x14ac:dyDescent="0.35">
      <c r="A516" s="2" t="s">
        <v>461</v>
      </c>
      <c r="B516" s="2" t="s">
        <v>270</v>
      </c>
      <c r="C516" s="3">
        <v>44176</v>
      </c>
      <c r="D516">
        <v>132</v>
      </c>
      <c r="E516" s="2" t="s">
        <v>20</v>
      </c>
      <c r="F516" s="2">
        <v>93.58</v>
      </c>
      <c r="G516" s="2" t="str">
        <f>IF(F516&gt;D516,"Yes","No")</f>
        <v>No</v>
      </c>
    </row>
    <row r="517" spans="1:7" x14ac:dyDescent="0.35">
      <c r="A517" s="2" t="s">
        <v>564</v>
      </c>
      <c r="B517" s="2" t="s">
        <v>6</v>
      </c>
      <c r="C517" s="3">
        <v>43217</v>
      </c>
      <c r="D517">
        <v>104</v>
      </c>
      <c r="E517" s="2" t="s">
        <v>20</v>
      </c>
      <c r="F517" s="2">
        <v>93.58</v>
      </c>
      <c r="G517" s="2" t="str">
        <f>IF(F517&gt;D517,"Yes","No")</f>
        <v>No</v>
      </c>
    </row>
    <row r="518" spans="1:7" x14ac:dyDescent="0.35">
      <c r="A518" s="2" t="s">
        <v>756</v>
      </c>
      <c r="B518" s="2" t="s">
        <v>754</v>
      </c>
      <c r="C518" s="3">
        <v>43677</v>
      </c>
      <c r="D518">
        <v>130</v>
      </c>
      <c r="E518" s="2" t="s">
        <v>20</v>
      </c>
      <c r="F518" s="2">
        <v>93.58</v>
      </c>
      <c r="G518" s="2" t="str">
        <f>IF(F518&gt;D518,"Yes","No")</f>
        <v>No</v>
      </c>
    </row>
    <row r="519" spans="1:7" x14ac:dyDescent="0.35">
      <c r="A519" s="2" t="s">
        <v>138</v>
      </c>
      <c r="B519" s="2" t="s">
        <v>139</v>
      </c>
      <c r="C519" s="3">
        <v>42349</v>
      </c>
      <c r="D519">
        <v>119</v>
      </c>
      <c r="E519" s="2" t="s">
        <v>20</v>
      </c>
      <c r="F519" s="2">
        <v>93.58</v>
      </c>
      <c r="G519" s="2" t="str">
        <f>IF(F519&gt;D519,"Yes","No")</f>
        <v>No</v>
      </c>
    </row>
    <row r="520" spans="1:7" x14ac:dyDescent="0.35">
      <c r="A520" s="2" t="s">
        <v>978</v>
      </c>
      <c r="B520" s="2" t="s">
        <v>979</v>
      </c>
      <c r="C520" s="3">
        <v>43767</v>
      </c>
      <c r="D520">
        <v>13</v>
      </c>
      <c r="E520" s="2" t="s">
        <v>20</v>
      </c>
      <c r="F520" s="2">
        <v>93.58</v>
      </c>
      <c r="G520" s="2" t="str">
        <f>IF(F520&gt;D520,"Yes","No")</f>
        <v>Yes</v>
      </c>
    </row>
    <row r="521" spans="1:7" x14ac:dyDescent="0.35">
      <c r="A521" s="2" t="s">
        <v>981</v>
      </c>
      <c r="B521" s="2" t="s">
        <v>602</v>
      </c>
      <c r="C521" s="3">
        <v>42650</v>
      </c>
      <c r="D521">
        <v>108</v>
      </c>
      <c r="E521" s="2" t="s">
        <v>20</v>
      </c>
      <c r="F521" s="2">
        <v>93.58</v>
      </c>
      <c r="G521" s="2" t="str">
        <f>IF(F521&gt;D521,"Yes","No")</f>
        <v>No</v>
      </c>
    </row>
    <row r="522" spans="1:7" x14ac:dyDescent="0.35">
      <c r="A522" s="2" t="s">
        <v>333</v>
      </c>
      <c r="B522" s="2" t="s">
        <v>29</v>
      </c>
      <c r="C522" s="3">
        <v>44064</v>
      </c>
      <c r="D522">
        <v>103</v>
      </c>
      <c r="E522" s="2" t="s">
        <v>20</v>
      </c>
      <c r="F522" s="2">
        <v>93.58</v>
      </c>
      <c r="G522" s="2" t="str">
        <f>IF(F522&gt;D522,"Yes","No")</f>
        <v>No</v>
      </c>
    </row>
    <row r="523" spans="1:7" x14ac:dyDescent="0.35">
      <c r="A523" s="2" t="s">
        <v>1066</v>
      </c>
      <c r="B523" s="2" t="s">
        <v>6</v>
      </c>
      <c r="C523" s="3">
        <v>44083</v>
      </c>
      <c r="D523">
        <v>94</v>
      </c>
      <c r="E523" s="2" t="s">
        <v>20</v>
      </c>
      <c r="F523" s="2">
        <v>93.58</v>
      </c>
      <c r="G523" s="2" t="str">
        <f>IF(F523&gt;D523,"Yes","No")</f>
        <v>No</v>
      </c>
    </row>
    <row r="524" spans="1:7" x14ac:dyDescent="0.35">
      <c r="A524" s="2" t="s">
        <v>1035</v>
      </c>
      <c r="B524" s="2" t="s">
        <v>6</v>
      </c>
      <c r="C524" s="3">
        <v>44041</v>
      </c>
      <c r="D524">
        <v>40</v>
      </c>
      <c r="E524" s="2" t="s">
        <v>20</v>
      </c>
      <c r="F524" s="2">
        <v>93.58</v>
      </c>
      <c r="G524" s="2" t="str">
        <f>IF(F524&gt;D524,"Yes","No")</f>
        <v>Yes</v>
      </c>
    </row>
    <row r="525" spans="1:7" x14ac:dyDescent="0.35">
      <c r="A525" s="2" t="s">
        <v>1111</v>
      </c>
      <c r="B525" s="2" t="s">
        <v>6</v>
      </c>
      <c r="C525" s="3">
        <v>44118</v>
      </c>
      <c r="D525">
        <v>109</v>
      </c>
      <c r="E525" s="2" t="s">
        <v>12</v>
      </c>
      <c r="F525" s="2">
        <v>93.58</v>
      </c>
      <c r="G525" s="2" t="str">
        <f>IF(F525&gt;D525,"Yes","No")</f>
        <v>No</v>
      </c>
    </row>
    <row r="526" spans="1:7" x14ac:dyDescent="0.35">
      <c r="A526" s="2" t="s">
        <v>837</v>
      </c>
      <c r="B526" s="2" t="s">
        <v>6</v>
      </c>
      <c r="C526" s="3">
        <v>43140</v>
      </c>
      <c r="D526">
        <v>23</v>
      </c>
      <c r="E526" s="2" t="s">
        <v>838</v>
      </c>
      <c r="F526" s="2">
        <v>93.58</v>
      </c>
      <c r="G526" s="2" t="str">
        <f>IF(F526&gt;D526,"Yes","No")</f>
        <v>Yes</v>
      </c>
    </row>
    <row r="527" spans="1:7" x14ac:dyDescent="0.35">
      <c r="A527" s="2" t="s">
        <v>1090</v>
      </c>
      <c r="B527" s="2" t="s">
        <v>43</v>
      </c>
      <c r="C527" s="3">
        <v>44120</v>
      </c>
      <c r="D527">
        <v>130</v>
      </c>
      <c r="E527" s="2" t="s">
        <v>20</v>
      </c>
      <c r="F527" s="2">
        <v>93.58</v>
      </c>
      <c r="G527" s="2" t="str">
        <f>IF(F527&gt;D527,"Yes","No")</f>
        <v>No</v>
      </c>
    </row>
    <row r="528" spans="1:7" x14ac:dyDescent="0.35">
      <c r="A528" s="2" t="s">
        <v>1068</v>
      </c>
      <c r="B528" s="2" t="s">
        <v>43</v>
      </c>
      <c r="C528" s="3">
        <v>43819</v>
      </c>
      <c r="D528">
        <v>125</v>
      </c>
      <c r="E528" s="2" t="s">
        <v>20</v>
      </c>
      <c r="F528" s="2">
        <v>93.58</v>
      </c>
      <c r="G528" s="2" t="str">
        <f>IF(F528&gt;D528,"Yes","No")</f>
        <v>No</v>
      </c>
    </row>
    <row r="529" spans="1:7" x14ac:dyDescent="0.35">
      <c r="A529" s="2" t="s">
        <v>217</v>
      </c>
      <c r="B529" s="2" t="s">
        <v>29</v>
      </c>
      <c r="C529" s="3">
        <v>43217</v>
      </c>
      <c r="D529">
        <v>116</v>
      </c>
      <c r="E529" s="2" t="s">
        <v>20</v>
      </c>
      <c r="F529" s="2">
        <v>93.58</v>
      </c>
      <c r="G529" s="2" t="str">
        <f>IF(F529&gt;D529,"Yes","No")</f>
        <v>No</v>
      </c>
    </row>
    <row r="530" spans="1:7" x14ac:dyDescent="0.35">
      <c r="A530" s="2" t="s">
        <v>1055</v>
      </c>
      <c r="B530" s="2" t="s">
        <v>6</v>
      </c>
      <c r="C530" s="3">
        <v>42629</v>
      </c>
      <c r="D530">
        <v>40</v>
      </c>
      <c r="E530" s="2" t="s">
        <v>20</v>
      </c>
      <c r="F530" s="2">
        <v>93.58</v>
      </c>
      <c r="G530" s="2" t="str">
        <f>IF(F530&gt;D530,"Yes","No")</f>
        <v>Yes</v>
      </c>
    </row>
    <row r="531" spans="1:7" x14ac:dyDescent="0.35">
      <c r="A531" s="2" t="s">
        <v>944</v>
      </c>
      <c r="B531" s="2" t="s">
        <v>43</v>
      </c>
      <c r="C531" s="3">
        <v>44218</v>
      </c>
      <c r="D531">
        <v>125</v>
      </c>
      <c r="E531" s="2" t="s">
        <v>20</v>
      </c>
      <c r="F531" s="2">
        <v>93.58</v>
      </c>
      <c r="G531" s="2" t="str">
        <f>IF(F531&gt;D531,"Yes","No")</f>
        <v>No</v>
      </c>
    </row>
    <row r="532" spans="1:7" x14ac:dyDescent="0.35">
      <c r="A532" s="2" t="s">
        <v>670</v>
      </c>
      <c r="B532" s="2" t="s">
        <v>671</v>
      </c>
      <c r="C532" s="3">
        <v>43943</v>
      </c>
      <c r="D532">
        <v>90</v>
      </c>
      <c r="E532" s="2" t="s">
        <v>20</v>
      </c>
      <c r="F532" s="2">
        <v>93.58</v>
      </c>
      <c r="G532" s="2" t="str">
        <f>IF(F532&gt;D532,"Yes","No")</f>
        <v>Yes</v>
      </c>
    </row>
    <row r="533" spans="1:7" x14ac:dyDescent="0.35">
      <c r="A533" s="2" t="s">
        <v>374</v>
      </c>
      <c r="B533" s="2" t="s">
        <v>375</v>
      </c>
      <c r="C533" s="3">
        <v>44330</v>
      </c>
      <c r="D533">
        <v>100</v>
      </c>
      <c r="E533" s="2" t="s">
        <v>20</v>
      </c>
      <c r="F533" s="2">
        <v>93.58</v>
      </c>
      <c r="G533" s="2" t="str">
        <f>IF(F533&gt;D533,"Yes","No")</f>
        <v>No</v>
      </c>
    </row>
    <row r="534" spans="1:7" x14ac:dyDescent="0.35">
      <c r="A534" s="2" t="s">
        <v>377</v>
      </c>
      <c r="B534" s="2" t="s">
        <v>29</v>
      </c>
      <c r="C534" s="3">
        <v>43964</v>
      </c>
      <c r="D534">
        <v>90</v>
      </c>
      <c r="E534" s="2" t="s">
        <v>20</v>
      </c>
      <c r="F534" s="2">
        <v>93.58</v>
      </c>
      <c r="G534" s="2" t="str">
        <f>IF(F534&gt;D534,"Yes","No")</f>
        <v>Yes</v>
      </c>
    </row>
    <row r="535" spans="1:7" x14ac:dyDescent="0.35">
      <c r="A535" s="2" t="s">
        <v>1037</v>
      </c>
      <c r="B535" s="2" t="s">
        <v>6</v>
      </c>
      <c r="C535" s="3">
        <v>43406</v>
      </c>
      <c r="D535">
        <v>98</v>
      </c>
      <c r="E535" s="2" t="s">
        <v>20</v>
      </c>
      <c r="F535" s="2">
        <v>93.58</v>
      </c>
      <c r="G535" s="2" t="str">
        <f>IF(F535&gt;D535,"Yes","No")</f>
        <v>No</v>
      </c>
    </row>
    <row r="536" spans="1:7" x14ac:dyDescent="0.35">
      <c r="A536" s="2" t="s">
        <v>231</v>
      </c>
      <c r="B536" s="2" t="s">
        <v>95</v>
      </c>
      <c r="C536" s="3">
        <v>44315</v>
      </c>
      <c r="D536">
        <v>121</v>
      </c>
      <c r="E536" s="2" t="s">
        <v>20</v>
      </c>
      <c r="F536" s="2">
        <v>93.58</v>
      </c>
      <c r="G536" s="2" t="str">
        <f>IF(F536&gt;D536,"Yes","No")</f>
        <v>No</v>
      </c>
    </row>
    <row r="537" spans="1:7" x14ac:dyDescent="0.35">
      <c r="A537" s="2" t="s">
        <v>76</v>
      </c>
      <c r="B537" s="2" t="s">
        <v>77</v>
      </c>
      <c r="C537" s="3">
        <v>44295</v>
      </c>
      <c r="D537">
        <v>105</v>
      </c>
      <c r="E537" s="2" t="s">
        <v>20</v>
      </c>
      <c r="F537" s="2">
        <v>93.58</v>
      </c>
      <c r="G537" s="2" t="str">
        <f>IF(F537&gt;D537,"Yes","No")</f>
        <v>No</v>
      </c>
    </row>
    <row r="538" spans="1:7" x14ac:dyDescent="0.35">
      <c r="A538" s="2" t="s">
        <v>1038</v>
      </c>
      <c r="B538" s="2" t="s">
        <v>6</v>
      </c>
      <c r="C538" s="3">
        <v>42202</v>
      </c>
      <c r="D538">
        <v>80</v>
      </c>
      <c r="E538" s="2" t="s">
        <v>20</v>
      </c>
      <c r="F538" s="2">
        <v>93.58</v>
      </c>
      <c r="G538" s="2" t="str">
        <f>IF(F538&gt;D538,"Yes","No")</f>
        <v>Yes</v>
      </c>
    </row>
    <row r="539" spans="1:7" x14ac:dyDescent="0.35">
      <c r="A539" s="2" t="s">
        <v>728</v>
      </c>
      <c r="B539" s="2" t="s">
        <v>43</v>
      </c>
      <c r="C539" s="3">
        <v>43931</v>
      </c>
      <c r="D539">
        <v>91</v>
      </c>
      <c r="E539" s="2" t="s">
        <v>729</v>
      </c>
      <c r="F539" s="2">
        <v>93.58</v>
      </c>
      <c r="G539" s="2" t="str">
        <f>IF(F539&gt;D539,"Yes","No")</f>
        <v>Yes</v>
      </c>
    </row>
    <row r="540" spans="1:7" x14ac:dyDescent="0.35">
      <c r="A540" s="2" t="s">
        <v>621</v>
      </c>
      <c r="B540" s="2" t="s">
        <v>10</v>
      </c>
      <c r="C540" s="3">
        <v>43944</v>
      </c>
      <c r="D540">
        <v>134</v>
      </c>
      <c r="E540" s="2" t="s">
        <v>45</v>
      </c>
      <c r="F540" s="2">
        <v>93.58</v>
      </c>
      <c r="G540" s="2" t="str">
        <f>IF(F540&gt;D540,"Yes","No")</f>
        <v>No</v>
      </c>
    </row>
    <row r="541" spans="1:7" x14ac:dyDescent="0.35">
      <c r="A541" s="2" t="s">
        <v>946</v>
      </c>
      <c r="B541" s="2" t="s">
        <v>47</v>
      </c>
      <c r="C541" s="3">
        <v>43329</v>
      </c>
      <c r="D541">
        <v>99</v>
      </c>
      <c r="E541" s="2" t="s">
        <v>20</v>
      </c>
      <c r="F541" s="2">
        <v>93.58</v>
      </c>
      <c r="G541" s="2" t="str">
        <f>IF(F541&gt;D541,"Yes","No")</f>
        <v>No</v>
      </c>
    </row>
    <row r="542" spans="1:7" x14ac:dyDescent="0.35">
      <c r="A542" s="2" t="s">
        <v>623</v>
      </c>
      <c r="B542" s="2" t="s">
        <v>47</v>
      </c>
      <c r="C542" s="3">
        <v>44239</v>
      </c>
      <c r="D542">
        <v>109</v>
      </c>
      <c r="E542" s="2" t="s">
        <v>20</v>
      </c>
      <c r="F542" s="2">
        <v>93.58</v>
      </c>
      <c r="G542" s="2" t="str">
        <f>IF(F542&gt;D542,"Yes","No")</f>
        <v>No</v>
      </c>
    </row>
    <row r="543" spans="1:7" x14ac:dyDescent="0.35">
      <c r="A543" s="2" t="s">
        <v>491</v>
      </c>
      <c r="B543" s="2" t="s">
        <v>47</v>
      </c>
      <c r="C543" s="3">
        <v>43873</v>
      </c>
      <c r="D543">
        <v>102</v>
      </c>
      <c r="E543" s="2" t="s">
        <v>20</v>
      </c>
      <c r="F543" s="2">
        <v>93.58</v>
      </c>
      <c r="G543" s="2" t="str">
        <f>IF(F543&gt;D543,"Yes","No")</f>
        <v>No</v>
      </c>
    </row>
    <row r="544" spans="1:7" x14ac:dyDescent="0.35">
      <c r="A544" s="2" t="s">
        <v>233</v>
      </c>
      <c r="B544" s="2" t="s">
        <v>47</v>
      </c>
      <c r="C544" s="3">
        <v>43275</v>
      </c>
      <c r="D544">
        <v>95</v>
      </c>
      <c r="E544" s="2" t="s">
        <v>88</v>
      </c>
      <c r="F544" s="2">
        <v>93.58</v>
      </c>
      <c r="G544" s="2" t="str">
        <f>IF(F544&gt;D544,"Yes","No")</f>
        <v>No</v>
      </c>
    </row>
    <row r="545" spans="1:7" x14ac:dyDescent="0.35">
      <c r="A545" s="2" t="s">
        <v>839</v>
      </c>
      <c r="B545" s="2" t="s">
        <v>43</v>
      </c>
      <c r="C545" s="3">
        <v>42930</v>
      </c>
      <c r="D545">
        <v>107</v>
      </c>
      <c r="E545" s="2" t="s">
        <v>20</v>
      </c>
      <c r="F545" s="2">
        <v>93.58</v>
      </c>
      <c r="G545" s="2" t="str">
        <f>IF(F545&gt;D545,"Yes","No")</f>
        <v>No</v>
      </c>
    </row>
    <row r="546" spans="1:7" x14ac:dyDescent="0.35">
      <c r="A546" s="2" t="s">
        <v>841</v>
      </c>
      <c r="B546" s="2" t="s">
        <v>6</v>
      </c>
      <c r="C546" s="3">
        <v>44202</v>
      </c>
      <c r="D546">
        <v>98</v>
      </c>
      <c r="E546" s="2" t="s">
        <v>88</v>
      </c>
      <c r="F546" s="2">
        <v>93.58</v>
      </c>
      <c r="G546" s="2" t="str">
        <f>IF(F546&gt;D546,"Yes","No")</f>
        <v>No</v>
      </c>
    </row>
    <row r="547" spans="1:7" x14ac:dyDescent="0.35">
      <c r="A547" s="2" t="s">
        <v>802</v>
      </c>
      <c r="B547" s="2" t="s">
        <v>6</v>
      </c>
      <c r="C547" s="3">
        <v>42566</v>
      </c>
      <c r="D547">
        <v>116</v>
      </c>
      <c r="E547" s="2" t="s">
        <v>20</v>
      </c>
      <c r="F547" s="2">
        <v>93.58</v>
      </c>
      <c r="G547" s="2" t="str">
        <f>IF(F547&gt;D547,"Yes","No")</f>
        <v>No</v>
      </c>
    </row>
    <row r="548" spans="1:7" x14ac:dyDescent="0.35">
      <c r="A548" s="2" t="s">
        <v>730</v>
      </c>
      <c r="B548" s="2" t="s">
        <v>322</v>
      </c>
      <c r="C548" s="3">
        <v>42846</v>
      </c>
      <c r="D548">
        <v>83</v>
      </c>
      <c r="E548" s="2" t="s">
        <v>20</v>
      </c>
      <c r="F548" s="2">
        <v>93.58</v>
      </c>
      <c r="G548" s="2" t="str">
        <f>IF(F548&gt;D548,"Yes","No")</f>
        <v>Yes</v>
      </c>
    </row>
    <row r="549" spans="1:7" x14ac:dyDescent="0.35">
      <c r="A549" s="2" t="s">
        <v>625</v>
      </c>
      <c r="B549" s="2" t="s">
        <v>6</v>
      </c>
      <c r="C549" s="3">
        <v>43705</v>
      </c>
      <c r="D549">
        <v>85</v>
      </c>
      <c r="E549" s="2" t="s">
        <v>20</v>
      </c>
      <c r="F549" s="2">
        <v>93.58</v>
      </c>
      <c r="G549" s="2" t="str">
        <f>IF(F549&gt;D549,"Yes","No")</f>
        <v>Yes</v>
      </c>
    </row>
    <row r="550" spans="1:7" x14ac:dyDescent="0.35">
      <c r="A550" s="2" t="s">
        <v>1131</v>
      </c>
      <c r="B550" s="2" t="s">
        <v>43</v>
      </c>
      <c r="C550" s="3">
        <v>44211</v>
      </c>
      <c r="D550">
        <v>95</v>
      </c>
      <c r="E550" s="2" t="s">
        <v>24</v>
      </c>
      <c r="F550" s="2">
        <v>93.58</v>
      </c>
      <c r="G550" s="2" t="str">
        <f>IF(F550&gt;D550,"Yes","No")</f>
        <v>No</v>
      </c>
    </row>
    <row r="551" spans="1:7" x14ac:dyDescent="0.35">
      <c r="A551" s="2" t="s">
        <v>673</v>
      </c>
      <c r="B551" s="2" t="s">
        <v>153</v>
      </c>
      <c r="C551" s="3">
        <v>43537</v>
      </c>
      <c r="D551">
        <v>125</v>
      </c>
      <c r="E551" s="2" t="s">
        <v>20</v>
      </c>
      <c r="F551" s="2">
        <v>93.58</v>
      </c>
      <c r="G551" s="2" t="str">
        <f>IF(F551&gt;D551,"Yes","No")</f>
        <v>No</v>
      </c>
    </row>
    <row r="552" spans="1:7" x14ac:dyDescent="0.35">
      <c r="A552" s="2" t="s">
        <v>463</v>
      </c>
      <c r="B552" s="2" t="s">
        <v>51</v>
      </c>
      <c r="C552" s="3">
        <v>42685</v>
      </c>
      <c r="D552">
        <v>98</v>
      </c>
      <c r="E552" s="2" t="s">
        <v>20</v>
      </c>
      <c r="F552" s="2">
        <v>93.58</v>
      </c>
      <c r="G552" s="2" t="str">
        <f>IF(F552&gt;D552,"Yes","No")</f>
        <v>No</v>
      </c>
    </row>
    <row r="553" spans="1:7" x14ac:dyDescent="0.35">
      <c r="A553" s="2" t="s">
        <v>675</v>
      </c>
      <c r="B553" s="2" t="s">
        <v>6</v>
      </c>
      <c r="C553" s="3">
        <v>43371</v>
      </c>
      <c r="D553">
        <v>116</v>
      </c>
      <c r="E553" s="2" t="s">
        <v>676</v>
      </c>
      <c r="F553" s="2">
        <v>93.58</v>
      </c>
      <c r="G553" s="2" t="str">
        <f>IF(F553&gt;D553,"Yes","No")</f>
        <v>No</v>
      </c>
    </row>
    <row r="554" spans="1:7" x14ac:dyDescent="0.35">
      <c r="A554" s="2" t="s">
        <v>465</v>
      </c>
      <c r="B554" s="2" t="s">
        <v>466</v>
      </c>
      <c r="C554" s="3">
        <v>43910</v>
      </c>
      <c r="D554">
        <v>108</v>
      </c>
      <c r="E554" s="2" t="s">
        <v>16</v>
      </c>
      <c r="F554" s="2">
        <v>93.58</v>
      </c>
      <c r="G554" s="2" t="str">
        <f>IF(F554&gt;D554,"Yes","No")</f>
        <v>No</v>
      </c>
    </row>
    <row r="555" spans="1:7" x14ac:dyDescent="0.35">
      <c r="A555" s="2" t="s">
        <v>627</v>
      </c>
      <c r="B555" s="2" t="s">
        <v>43</v>
      </c>
      <c r="C555" s="3">
        <v>43917</v>
      </c>
      <c r="D555">
        <v>103</v>
      </c>
      <c r="E555" s="2" t="s">
        <v>20</v>
      </c>
      <c r="F555" s="2">
        <v>93.58</v>
      </c>
      <c r="G555" s="2" t="str">
        <f>IF(F555&gt;D555,"Yes","No")</f>
        <v>No</v>
      </c>
    </row>
    <row r="556" spans="1:7" x14ac:dyDescent="0.35">
      <c r="A556" s="2" t="s">
        <v>263</v>
      </c>
      <c r="B556" s="2" t="s">
        <v>264</v>
      </c>
      <c r="C556" s="3">
        <v>44013</v>
      </c>
      <c r="D556">
        <v>101</v>
      </c>
      <c r="E556" s="2" t="s">
        <v>16</v>
      </c>
      <c r="F556" s="2">
        <v>93.58</v>
      </c>
      <c r="G556" s="2" t="str">
        <f>IF(F556&gt;D556,"Yes","No")</f>
        <v>No</v>
      </c>
    </row>
    <row r="557" spans="1:7" x14ac:dyDescent="0.35">
      <c r="A557" s="2" t="s">
        <v>305</v>
      </c>
      <c r="B557" s="2" t="s">
        <v>29</v>
      </c>
      <c r="C557" s="3">
        <v>43560</v>
      </c>
      <c r="D557">
        <v>92</v>
      </c>
      <c r="E557" s="2" t="s">
        <v>20</v>
      </c>
      <c r="F557" s="2">
        <v>93.58</v>
      </c>
      <c r="G557" s="2" t="str">
        <f>IF(F557&gt;D557,"Yes","No")</f>
        <v>Yes</v>
      </c>
    </row>
    <row r="558" spans="1:7" x14ac:dyDescent="0.35">
      <c r="A558" s="2" t="s">
        <v>537</v>
      </c>
      <c r="B558" s="2" t="s">
        <v>10</v>
      </c>
      <c r="C558" s="3">
        <v>44071</v>
      </c>
      <c r="D558">
        <v>96</v>
      </c>
      <c r="E558" s="2" t="s">
        <v>12</v>
      </c>
      <c r="F558" s="2">
        <v>93.58</v>
      </c>
      <c r="G558" s="2" t="str">
        <f>IF(F558&gt;D558,"Yes","No")</f>
        <v>No</v>
      </c>
    </row>
    <row r="559" spans="1:7" x14ac:dyDescent="0.35">
      <c r="A559" s="2" t="s">
        <v>804</v>
      </c>
      <c r="B559" s="2" t="s">
        <v>43</v>
      </c>
      <c r="C559" s="3">
        <v>43756</v>
      </c>
      <c r="D559">
        <v>112</v>
      </c>
      <c r="E559" s="2" t="s">
        <v>24</v>
      </c>
      <c r="F559" s="2">
        <v>93.58</v>
      </c>
      <c r="G559" s="2" t="str">
        <f>IF(F559&gt;D559,"Yes","No")</f>
        <v>No</v>
      </c>
    </row>
    <row r="560" spans="1:7" x14ac:dyDescent="0.35">
      <c r="A560" s="2" t="s">
        <v>334</v>
      </c>
      <c r="B560" s="2" t="s">
        <v>335</v>
      </c>
      <c r="C560" s="3">
        <v>44106</v>
      </c>
      <c r="D560">
        <v>86</v>
      </c>
      <c r="E560" s="2" t="s">
        <v>20</v>
      </c>
      <c r="F560" s="2">
        <v>93.58</v>
      </c>
      <c r="G560" s="2" t="str">
        <f>IF(F560&gt;D560,"Yes","No")</f>
        <v>Yes</v>
      </c>
    </row>
    <row r="561" spans="1:7" x14ac:dyDescent="0.35">
      <c r="A561" s="2" t="s">
        <v>379</v>
      </c>
      <c r="B561" s="2" t="s">
        <v>10</v>
      </c>
      <c r="C561" s="3">
        <v>43497</v>
      </c>
      <c r="D561">
        <v>112</v>
      </c>
      <c r="E561" s="2" t="s">
        <v>20</v>
      </c>
      <c r="F561" s="2">
        <v>93.58</v>
      </c>
      <c r="G561" s="2" t="str">
        <f>IF(F561&gt;D561,"Yes","No")</f>
        <v>No</v>
      </c>
    </row>
    <row r="562" spans="1:7" x14ac:dyDescent="0.35">
      <c r="A562" s="2" t="s">
        <v>565</v>
      </c>
      <c r="B562" s="2" t="s">
        <v>6</v>
      </c>
      <c r="C562" s="3">
        <v>43070</v>
      </c>
      <c r="D562">
        <v>95</v>
      </c>
      <c r="E562" s="2" t="s">
        <v>20</v>
      </c>
      <c r="F562" s="2">
        <v>93.58</v>
      </c>
      <c r="G562" s="2" t="str">
        <f>IF(F562&gt;D562,"Yes","No")</f>
        <v>No</v>
      </c>
    </row>
    <row r="563" spans="1:7" x14ac:dyDescent="0.35">
      <c r="A563" s="2" t="s">
        <v>677</v>
      </c>
      <c r="B563" s="2" t="s">
        <v>43</v>
      </c>
      <c r="C563" s="3">
        <v>43532</v>
      </c>
      <c r="D563">
        <v>99</v>
      </c>
      <c r="E563" s="2" t="s">
        <v>20</v>
      </c>
      <c r="F563" s="2">
        <v>93.58</v>
      </c>
      <c r="G563" s="2" t="str">
        <f>IF(F563&gt;D563,"Yes","No")</f>
        <v>No</v>
      </c>
    </row>
    <row r="564" spans="1:7" x14ac:dyDescent="0.35">
      <c r="A564" s="2" t="s">
        <v>493</v>
      </c>
      <c r="B564" s="2" t="s">
        <v>494</v>
      </c>
      <c r="C564" s="3">
        <v>42881</v>
      </c>
      <c r="D564">
        <v>122</v>
      </c>
      <c r="E564" s="2" t="s">
        <v>20</v>
      </c>
      <c r="F564" s="2">
        <v>93.58</v>
      </c>
      <c r="G564" s="2" t="str">
        <f>IF(F564&gt;D564,"Yes","No")</f>
        <v>No</v>
      </c>
    </row>
    <row r="565" spans="1:7" x14ac:dyDescent="0.35">
      <c r="A565" s="2" t="s">
        <v>107</v>
      </c>
      <c r="B565" s="2" t="s">
        <v>6</v>
      </c>
      <c r="C565" s="3">
        <v>44026</v>
      </c>
      <c r="D565">
        <v>86</v>
      </c>
      <c r="E565" s="2" t="s">
        <v>88</v>
      </c>
      <c r="F565" s="2">
        <v>93.58</v>
      </c>
      <c r="G565" s="2" t="str">
        <f>IF(F565&gt;D565,"Yes","No")</f>
        <v>Yes</v>
      </c>
    </row>
    <row r="566" spans="1:7" x14ac:dyDescent="0.35">
      <c r="A566" s="2" t="s">
        <v>121</v>
      </c>
      <c r="B566" s="2" t="s">
        <v>122</v>
      </c>
      <c r="C566" s="3">
        <v>44190</v>
      </c>
      <c r="D566">
        <v>100</v>
      </c>
      <c r="E566" s="2" t="s">
        <v>20</v>
      </c>
      <c r="F566" s="2">
        <v>93.58</v>
      </c>
      <c r="G566" s="2" t="str">
        <f>IF(F566&gt;D566,"Yes","No")</f>
        <v>No</v>
      </c>
    </row>
    <row r="567" spans="1:7" x14ac:dyDescent="0.35">
      <c r="A567" s="2" t="s">
        <v>731</v>
      </c>
      <c r="B567" s="2" t="s">
        <v>732</v>
      </c>
      <c r="C567" s="3">
        <v>43850</v>
      </c>
      <c r="D567">
        <v>17</v>
      </c>
      <c r="E567" s="2" t="s">
        <v>20</v>
      </c>
      <c r="F567" s="2">
        <v>93.58</v>
      </c>
      <c r="G567" s="2" t="str">
        <f>IF(F567&gt;D567,"Yes","No")</f>
        <v>Yes</v>
      </c>
    </row>
    <row r="568" spans="1:7" x14ac:dyDescent="0.35">
      <c r="A568" s="2" t="s">
        <v>64</v>
      </c>
      <c r="B568" s="2" t="s">
        <v>29</v>
      </c>
      <c r="C568" s="3">
        <v>44197</v>
      </c>
      <c r="D568">
        <v>102</v>
      </c>
      <c r="E568" s="2" t="s">
        <v>45</v>
      </c>
      <c r="F568" s="2">
        <v>93.58</v>
      </c>
      <c r="G568" s="2" t="str">
        <f>IF(F568&gt;D568,"Yes","No")</f>
        <v>No</v>
      </c>
    </row>
    <row r="569" spans="1:7" x14ac:dyDescent="0.35">
      <c r="A569" s="2" t="s">
        <v>1070</v>
      </c>
      <c r="B569" s="2" t="s">
        <v>6</v>
      </c>
      <c r="C569" s="3">
        <v>42181</v>
      </c>
      <c r="D569">
        <v>84</v>
      </c>
      <c r="E569" s="2" t="s">
        <v>20</v>
      </c>
      <c r="F569" s="2">
        <v>93.58</v>
      </c>
      <c r="G569" s="2" t="str">
        <f>IF(F569&gt;D569,"Yes","No")</f>
        <v>Yes</v>
      </c>
    </row>
    <row r="570" spans="1:7" x14ac:dyDescent="0.35">
      <c r="A570" s="2" t="s">
        <v>434</v>
      </c>
      <c r="B570" s="2" t="s">
        <v>43</v>
      </c>
      <c r="C570" s="3">
        <v>44146</v>
      </c>
      <c r="D570">
        <v>93</v>
      </c>
      <c r="E570" s="2" t="s">
        <v>125</v>
      </c>
      <c r="F570" s="2">
        <v>93.58</v>
      </c>
      <c r="G570" s="2" t="str">
        <f>IF(F570&gt;D570,"Yes","No")</f>
        <v>Yes</v>
      </c>
    </row>
    <row r="571" spans="1:7" x14ac:dyDescent="0.35">
      <c r="A571" s="2" t="s">
        <v>758</v>
      </c>
      <c r="B571" s="2" t="s">
        <v>6</v>
      </c>
      <c r="C571" s="3">
        <v>44211</v>
      </c>
      <c r="D571">
        <v>32</v>
      </c>
      <c r="E571" s="2" t="s">
        <v>20</v>
      </c>
      <c r="F571" s="2">
        <v>93.58</v>
      </c>
      <c r="G571" s="2" t="str">
        <f>IF(F571&gt;D571,"Yes","No")</f>
        <v>Yes</v>
      </c>
    </row>
    <row r="572" spans="1:7" x14ac:dyDescent="0.35">
      <c r="A572" s="2" t="s">
        <v>678</v>
      </c>
      <c r="B572" s="2" t="s">
        <v>679</v>
      </c>
      <c r="C572" s="3">
        <v>43028</v>
      </c>
      <c r="D572">
        <v>82</v>
      </c>
      <c r="E572" s="2" t="s">
        <v>20</v>
      </c>
      <c r="F572" s="2">
        <v>93.58</v>
      </c>
      <c r="G572" s="2" t="str">
        <f>IF(F572&gt;D572,"Yes","No")</f>
        <v>Yes</v>
      </c>
    </row>
    <row r="573" spans="1:7" x14ac:dyDescent="0.35">
      <c r="A573" s="2" t="s">
        <v>680</v>
      </c>
      <c r="B573" s="2" t="s">
        <v>47</v>
      </c>
      <c r="C573" s="3">
        <v>43140</v>
      </c>
      <c r="D573">
        <v>97</v>
      </c>
      <c r="E573" s="2" t="s">
        <v>20</v>
      </c>
      <c r="F573" s="2">
        <v>93.58</v>
      </c>
      <c r="G573" s="2" t="str">
        <f>IF(F573&gt;D573,"Yes","No")</f>
        <v>No</v>
      </c>
    </row>
    <row r="574" spans="1:7" x14ac:dyDescent="0.35">
      <c r="A574" s="2" t="s">
        <v>46</v>
      </c>
      <c r="B574" s="2" t="s">
        <v>47</v>
      </c>
      <c r="C574" s="3">
        <v>44092</v>
      </c>
      <c r="D574">
        <v>97</v>
      </c>
      <c r="E574" s="2" t="s">
        <v>49</v>
      </c>
      <c r="F574" s="2">
        <v>93.58</v>
      </c>
      <c r="G574" s="2" t="str">
        <f>IF(F574&gt;D574,"Yes","No")</f>
        <v>No</v>
      </c>
    </row>
    <row r="575" spans="1:7" x14ac:dyDescent="0.35">
      <c r="A575" s="2" t="s">
        <v>235</v>
      </c>
      <c r="B575" s="2" t="s">
        <v>43</v>
      </c>
      <c r="C575" s="3">
        <v>43567</v>
      </c>
      <c r="D575">
        <v>93</v>
      </c>
      <c r="E575" s="2" t="s">
        <v>12</v>
      </c>
      <c r="F575" s="2">
        <v>93.58</v>
      </c>
      <c r="G575" s="2" t="str">
        <f>IF(F575&gt;D575,"Yes","No")</f>
        <v>Yes</v>
      </c>
    </row>
    <row r="576" spans="1:7" x14ac:dyDescent="0.35">
      <c r="A576" s="2" t="s">
        <v>336</v>
      </c>
      <c r="B576" s="2" t="s">
        <v>6</v>
      </c>
      <c r="C576" s="3">
        <v>44300</v>
      </c>
      <c r="D576">
        <v>83</v>
      </c>
      <c r="E576" s="2" t="s">
        <v>20</v>
      </c>
      <c r="F576" s="2">
        <v>93.58</v>
      </c>
      <c r="G576" s="2" t="str">
        <f>IF(F576&gt;D576,"Yes","No")</f>
        <v>Yes</v>
      </c>
    </row>
    <row r="577" spans="1:7" x14ac:dyDescent="0.35">
      <c r="A577" s="2" t="s">
        <v>567</v>
      </c>
      <c r="B577" s="2" t="s">
        <v>29</v>
      </c>
      <c r="C577" s="3">
        <v>42832</v>
      </c>
      <c r="D577">
        <v>88</v>
      </c>
      <c r="E577" s="2" t="s">
        <v>20</v>
      </c>
      <c r="F577" s="2">
        <v>93.58</v>
      </c>
      <c r="G577" s="2" t="str">
        <f>IF(F577&gt;D577,"Yes","No")</f>
        <v>Yes</v>
      </c>
    </row>
    <row r="578" spans="1:7" x14ac:dyDescent="0.35">
      <c r="A578" s="2" t="s">
        <v>307</v>
      </c>
      <c r="B578" s="2" t="s">
        <v>29</v>
      </c>
      <c r="C578" s="3">
        <v>43595</v>
      </c>
      <c r="D578">
        <v>103</v>
      </c>
      <c r="E578" s="2" t="s">
        <v>20</v>
      </c>
      <c r="F578" s="2">
        <v>93.58</v>
      </c>
      <c r="G578" s="2" t="str">
        <f>IF(F578&gt;D578,"Yes","No")</f>
        <v>No</v>
      </c>
    </row>
    <row r="579" spans="1:7" x14ac:dyDescent="0.35">
      <c r="A579" s="2" t="s">
        <v>1120</v>
      </c>
      <c r="B579" s="2" t="s">
        <v>6</v>
      </c>
      <c r="C579" s="3">
        <v>42286</v>
      </c>
      <c r="D579">
        <v>91</v>
      </c>
      <c r="E579" s="2" t="s">
        <v>1122</v>
      </c>
      <c r="F579" s="2">
        <v>93.58</v>
      </c>
      <c r="G579" s="2" t="str">
        <f>IF(F579&gt;D579,"Yes","No")</f>
        <v>Yes</v>
      </c>
    </row>
    <row r="580" spans="1:7" x14ac:dyDescent="0.35">
      <c r="A580" s="2" t="s">
        <v>539</v>
      </c>
      <c r="B580" s="2" t="s">
        <v>540</v>
      </c>
      <c r="C580" s="3">
        <v>44050</v>
      </c>
      <c r="D580">
        <v>93</v>
      </c>
      <c r="E580" s="2" t="s">
        <v>20</v>
      </c>
      <c r="F580" s="2">
        <v>93.58</v>
      </c>
      <c r="G580" s="2" t="str">
        <f>IF(F580&gt;D580,"Yes","No")</f>
        <v>Yes</v>
      </c>
    </row>
    <row r="581" spans="1:7" x14ac:dyDescent="0.35">
      <c r="A581" s="2" t="s">
        <v>237</v>
      </c>
      <c r="B581" s="2" t="s">
        <v>43</v>
      </c>
      <c r="C581" s="3">
        <v>42608</v>
      </c>
      <c r="D581">
        <v>92</v>
      </c>
      <c r="E581" s="2" t="s">
        <v>20</v>
      </c>
      <c r="F581" s="2">
        <v>93.58</v>
      </c>
      <c r="G581" s="2" t="str">
        <f>IF(F581&gt;D581,"Yes","No")</f>
        <v>Yes</v>
      </c>
    </row>
    <row r="582" spans="1:7" x14ac:dyDescent="0.35">
      <c r="A582" s="2" t="s">
        <v>1072</v>
      </c>
      <c r="B582" s="2" t="s">
        <v>43</v>
      </c>
      <c r="C582" s="3">
        <v>43882</v>
      </c>
      <c r="D582">
        <v>117</v>
      </c>
      <c r="E582" s="2" t="s">
        <v>24</v>
      </c>
      <c r="F582" s="2">
        <v>93.58</v>
      </c>
      <c r="G582" s="2" t="str">
        <f>IF(F582&gt;D582,"Yes","No")</f>
        <v>No</v>
      </c>
    </row>
    <row r="583" spans="1:7" x14ac:dyDescent="0.35">
      <c r="A583" s="2" t="s">
        <v>381</v>
      </c>
      <c r="B583" s="2" t="s">
        <v>29</v>
      </c>
      <c r="C583" s="3">
        <v>44267</v>
      </c>
      <c r="D583">
        <v>86</v>
      </c>
      <c r="E583" s="2" t="s">
        <v>20</v>
      </c>
      <c r="F583" s="2">
        <v>93.58</v>
      </c>
      <c r="G583" s="2" t="str">
        <f>IF(F583&gt;D583,"Yes","No")</f>
        <v>Yes</v>
      </c>
    </row>
    <row r="584" spans="1:7" x14ac:dyDescent="0.35">
      <c r="A584" s="2" t="s">
        <v>436</v>
      </c>
      <c r="B584" s="2" t="s">
        <v>47</v>
      </c>
      <c r="C584" s="3">
        <v>44106</v>
      </c>
      <c r="D584">
        <v>111</v>
      </c>
      <c r="E584" s="2" t="s">
        <v>12</v>
      </c>
      <c r="F584" s="2">
        <v>93.58</v>
      </c>
      <c r="G584" s="2" t="str">
        <f>IF(F584&gt;D584,"Yes","No")</f>
        <v>No</v>
      </c>
    </row>
    <row r="585" spans="1:7" x14ac:dyDescent="0.35">
      <c r="A585" s="2" t="s">
        <v>983</v>
      </c>
      <c r="B585" s="2" t="s">
        <v>6</v>
      </c>
      <c r="C585" s="3">
        <v>43322</v>
      </c>
      <c r="D585">
        <v>11</v>
      </c>
      <c r="E585" s="2" t="s">
        <v>20</v>
      </c>
      <c r="F585" s="2">
        <v>93.58</v>
      </c>
      <c r="G585" s="2" t="str">
        <f>IF(F585&gt;D585,"Yes","No")</f>
        <v>Yes</v>
      </c>
    </row>
    <row r="586" spans="1:7" x14ac:dyDescent="0.35">
      <c r="A586" s="7" t="s">
        <v>1142</v>
      </c>
      <c r="B586" s="8"/>
      <c r="C586" s="9"/>
      <c r="D586" s="7">
        <f>SUM(D2:D585)</f>
        <v>54649</v>
      </c>
      <c r="E586" s="8"/>
      <c r="F586" s="7"/>
      <c r="G586" s="7"/>
    </row>
    <row r="587" spans="1:7" x14ac:dyDescent="0.35">
      <c r="A587" s="7" t="s">
        <v>1143</v>
      </c>
      <c r="B587" s="7"/>
      <c r="C587" s="7"/>
      <c r="D587" s="7"/>
      <c r="E587" s="7"/>
    </row>
    <row r="588" spans="1:7" x14ac:dyDescent="0.35">
      <c r="A588" s="7" t="s">
        <v>1144</v>
      </c>
      <c r="B588" s="7"/>
      <c r="C588" s="7"/>
      <c r="D588" s="7"/>
      <c r="E588" s="7"/>
    </row>
    <row r="589" spans="1:7" x14ac:dyDescent="0.35">
      <c r="A589" s="7" t="s">
        <v>1145</v>
      </c>
      <c r="B589" s="7"/>
      <c r="C589" s="7"/>
      <c r="D589" s="7"/>
      <c r="E589" s="7"/>
    </row>
    <row r="590" spans="1:7" x14ac:dyDescent="0.35">
      <c r="A590" s="7" t="s">
        <v>1146</v>
      </c>
      <c r="B590" s="7"/>
      <c r="C590" s="7"/>
      <c r="D590" s="7"/>
      <c r="E590" s="7"/>
    </row>
    <row r="591" spans="1:7" x14ac:dyDescent="0.35">
      <c r="A591" s="7" t="s">
        <v>1147</v>
      </c>
      <c r="B591" s="7"/>
      <c r="C591" s="7"/>
      <c r="D591" s="7">
        <f>MAX(D2:D585)</f>
        <v>209</v>
      </c>
      <c r="E591" s="7"/>
    </row>
    <row r="592" spans="1:7" x14ac:dyDescent="0.35">
      <c r="A592" s="7" t="s">
        <v>1148</v>
      </c>
      <c r="B592" s="7"/>
      <c r="C592" s="7"/>
      <c r="D592" s="7">
        <f>MIN(D2:D117)</f>
        <v>7</v>
      </c>
      <c r="E592" s="7"/>
    </row>
    <row r="593" spans="1:4" x14ac:dyDescent="0.35">
      <c r="A593" s="7" t="s">
        <v>1149</v>
      </c>
      <c r="D593" s="10">
        <f>AVERAGE(D2:D585)</f>
        <v>93.577054794520549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585"/>
  <sheetViews>
    <sheetView workbookViewId="0"/>
  </sheetViews>
  <sheetFormatPr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t="s">
        <v>5</v>
      </c>
      <c r="B2" t="s">
        <v>6</v>
      </c>
      <c r="C2" t="s">
        <v>7</v>
      </c>
      <c r="D2">
        <v>58</v>
      </c>
      <c r="E2" t="s">
        <v>8</v>
      </c>
    </row>
    <row r="3" spans="1:5" x14ac:dyDescent="0.35">
      <c r="A3" t="s">
        <v>9</v>
      </c>
      <c r="B3" t="s">
        <v>10</v>
      </c>
      <c r="C3" t="s">
        <v>11</v>
      </c>
      <c r="D3">
        <v>81</v>
      </c>
      <c r="E3" t="s">
        <v>12</v>
      </c>
    </row>
    <row r="4" spans="1:5" x14ac:dyDescent="0.35">
      <c r="A4" t="s">
        <v>13</v>
      </c>
      <c r="B4" t="s">
        <v>14</v>
      </c>
      <c r="C4" t="s">
        <v>15</v>
      </c>
      <c r="D4">
        <v>79</v>
      </c>
      <c r="E4" t="s">
        <v>16</v>
      </c>
    </row>
    <row r="5" spans="1:5" x14ac:dyDescent="0.35">
      <c r="A5" t="s">
        <v>17</v>
      </c>
      <c r="B5" t="s">
        <v>18</v>
      </c>
      <c r="C5" t="s">
        <v>19</v>
      </c>
      <c r="D5">
        <v>94</v>
      </c>
      <c r="E5" t="s">
        <v>20</v>
      </c>
    </row>
    <row r="6" spans="1:5" x14ac:dyDescent="0.35">
      <c r="A6" t="s">
        <v>21</v>
      </c>
      <c r="B6" t="s">
        <v>22</v>
      </c>
      <c r="C6" t="s">
        <v>23</v>
      </c>
      <c r="D6">
        <v>90</v>
      </c>
      <c r="E6" t="s">
        <v>24</v>
      </c>
    </row>
    <row r="7" spans="1:5" x14ac:dyDescent="0.35">
      <c r="A7" t="s">
        <v>25</v>
      </c>
      <c r="B7" t="s">
        <v>26</v>
      </c>
      <c r="C7" t="s">
        <v>27</v>
      </c>
      <c r="D7">
        <v>147</v>
      </c>
      <c r="E7" t="s">
        <v>24</v>
      </c>
    </row>
    <row r="8" spans="1:5" x14ac:dyDescent="0.35">
      <c r="A8" t="s">
        <v>28</v>
      </c>
      <c r="B8" t="s">
        <v>29</v>
      </c>
      <c r="C8" t="s">
        <v>30</v>
      </c>
      <c r="D8">
        <v>112</v>
      </c>
      <c r="E8" t="s">
        <v>31</v>
      </c>
    </row>
    <row r="9" spans="1:5" x14ac:dyDescent="0.35">
      <c r="A9" t="s">
        <v>32</v>
      </c>
      <c r="B9" t="s">
        <v>33</v>
      </c>
      <c r="C9" t="s">
        <v>34</v>
      </c>
      <c r="D9">
        <v>149</v>
      </c>
      <c r="E9" t="s">
        <v>20</v>
      </c>
    </row>
    <row r="10" spans="1:5" x14ac:dyDescent="0.35">
      <c r="A10" t="s">
        <v>35</v>
      </c>
      <c r="B10" t="s">
        <v>36</v>
      </c>
      <c r="C10" t="s">
        <v>37</v>
      </c>
      <c r="D10">
        <v>73</v>
      </c>
      <c r="E10" t="s">
        <v>20</v>
      </c>
    </row>
    <row r="11" spans="1:5" x14ac:dyDescent="0.35">
      <c r="A11" t="s">
        <v>38</v>
      </c>
      <c r="B11" t="s">
        <v>29</v>
      </c>
      <c r="C11" t="s">
        <v>39</v>
      </c>
      <c r="D11">
        <v>139</v>
      </c>
      <c r="E11" t="s">
        <v>24</v>
      </c>
    </row>
    <row r="12" spans="1:5" x14ac:dyDescent="0.35">
      <c r="A12" t="s">
        <v>40</v>
      </c>
      <c r="B12" t="s">
        <v>6</v>
      </c>
      <c r="C12" t="s">
        <v>41</v>
      </c>
      <c r="D12">
        <v>58</v>
      </c>
      <c r="E12" t="s">
        <v>20</v>
      </c>
    </row>
    <row r="13" spans="1:5" x14ac:dyDescent="0.35">
      <c r="A13" t="s">
        <v>42</v>
      </c>
      <c r="B13" t="s">
        <v>43</v>
      </c>
      <c r="C13" t="s">
        <v>44</v>
      </c>
      <c r="D13">
        <v>112</v>
      </c>
      <c r="E13" t="s">
        <v>45</v>
      </c>
    </row>
    <row r="14" spans="1:5" x14ac:dyDescent="0.35">
      <c r="A14" t="s">
        <v>46</v>
      </c>
      <c r="B14" t="s">
        <v>47</v>
      </c>
      <c r="C14" t="s">
        <v>48</v>
      </c>
      <c r="D14">
        <v>97</v>
      </c>
      <c r="E14" t="s">
        <v>49</v>
      </c>
    </row>
    <row r="15" spans="1:5" x14ac:dyDescent="0.35">
      <c r="A15" t="s">
        <v>50</v>
      </c>
      <c r="B15" t="s">
        <v>51</v>
      </c>
      <c r="C15" t="s">
        <v>52</v>
      </c>
      <c r="D15">
        <v>101</v>
      </c>
      <c r="E15" t="s">
        <v>53</v>
      </c>
    </row>
    <row r="16" spans="1:5" x14ac:dyDescent="0.35">
      <c r="A16" t="s">
        <v>54</v>
      </c>
      <c r="B16" t="s">
        <v>10</v>
      </c>
      <c r="C16" t="s">
        <v>55</v>
      </c>
      <c r="D16">
        <v>90</v>
      </c>
      <c r="E16" t="s">
        <v>20</v>
      </c>
    </row>
    <row r="17" spans="1:5" x14ac:dyDescent="0.35">
      <c r="A17" t="s">
        <v>56</v>
      </c>
      <c r="B17" t="s">
        <v>6</v>
      </c>
      <c r="C17" t="s">
        <v>57</v>
      </c>
      <c r="D17">
        <v>25</v>
      </c>
      <c r="E17" t="s">
        <v>12</v>
      </c>
    </row>
    <row r="18" spans="1:5" x14ac:dyDescent="0.35">
      <c r="A18" t="s">
        <v>58</v>
      </c>
      <c r="B18" t="s">
        <v>59</v>
      </c>
      <c r="C18" t="s">
        <v>60</v>
      </c>
      <c r="D18">
        <v>144</v>
      </c>
      <c r="E18" t="s">
        <v>24</v>
      </c>
    </row>
    <row r="19" spans="1:5" x14ac:dyDescent="0.35">
      <c r="A19" t="s">
        <v>61</v>
      </c>
      <c r="B19" t="s">
        <v>62</v>
      </c>
      <c r="C19" t="s">
        <v>63</v>
      </c>
      <c r="D19">
        <v>115</v>
      </c>
      <c r="E19" t="s">
        <v>20</v>
      </c>
    </row>
    <row r="20" spans="1:5" x14ac:dyDescent="0.35">
      <c r="A20" t="s">
        <v>64</v>
      </c>
      <c r="B20" t="s">
        <v>29</v>
      </c>
      <c r="C20" t="s">
        <v>65</v>
      </c>
      <c r="D20">
        <v>102</v>
      </c>
      <c r="E20" t="s">
        <v>45</v>
      </c>
    </row>
    <row r="21" spans="1:5" x14ac:dyDescent="0.35">
      <c r="A21" t="s">
        <v>66</v>
      </c>
      <c r="B21" t="s">
        <v>18</v>
      </c>
      <c r="C21" t="s">
        <v>67</v>
      </c>
      <c r="D21">
        <v>100</v>
      </c>
      <c r="E21" t="s">
        <v>20</v>
      </c>
    </row>
    <row r="22" spans="1:5" x14ac:dyDescent="0.35">
      <c r="A22" t="s">
        <v>68</v>
      </c>
      <c r="B22" t="s">
        <v>6</v>
      </c>
      <c r="C22" t="s">
        <v>69</v>
      </c>
      <c r="D22">
        <v>64</v>
      </c>
      <c r="E22" t="s">
        <v>20</v>
      </c>
    </row>
    <row r="23" spans="1:5" x14ac:dyDescent="0.35">
      <c r="A23" t="s">
        <v>70</v>
      </c>
      <c r="B23" t="s">
        <v>10</v>
      </c>
      <c r="C23" t="s">
        <v>71</v>
      </c>
      <c r="D23">
        <v>97</v>
      </c>
      <c r="E23" t="s">
        <v>20</v>
      </c>
    </row>
    <row r="24" spans="1:5" x14ac:dyDescent="0.35">
      <c r="A24" t="s">
        <v>72</v>
      </c>
      <c r="B24" t="s">
        <v>29</v>
      </c>
      <c r="C24" t="s">
        <v>73</v>
      </c>
      <c r="D24">
        <v>99</v>
      </c>
      <c r="E24" t="s">
        <v>20</v>
      </c>
    </row>
    <row r="25" spans="1:5" x14ac:dyDescent="0.35">
      <c r="A25" t="s">
        <v>74</v>
      </c>
      <c r="B25" t="s">
        <v>10</v>
      </c>
      <c r="C25" t="s">
        <v>75</v>
      </c>
      <c r="D25">
        <v>120</v>
      </c>
      <c r="E25" t="s">
        <v>24</v>
      </c>
    </row>
    <row r="26" spans="1:5" x14ac:dyDescent="0.35">
      <c r="A26" t="s">
        <v>76</v>
      </c>
      <c r="B26" t="s">
        <v>77</v>
      </c>
      <c r="C26" t="s">
        <v>78</v>
      </c>
      <c r="D26">
        <v>105</v>
      </c>
      <c r="E26" t="s">
        <v>20</v>
      </c>
    </row>
    <row r="27" spans="1:5" x14ac:dyDescent="0.35">
      <c r="A27" t="s">
        <v>79</v>
      </c>
      <c r="B27" t="s">
        <v>10</v>
      </c>
      <c r="C27" t="s">
        <v>80</v>
      </c>
      <c r="D27">
        <v>89</v>
      </c>
      <c r="E27" t="s">
        <v>20</v>
      </c>
    </row>
    <row r="28" spans="1:5" x14ac:dyDescent="0.35">
      <c r="A28" t="s">
        <v>81</v>
      </c>
      <c r="B28" t="s">
        <v>47</v>
      </c>
      <c r="C28" t="s">
        <v>82</v>
      </c>
      <c r="D28">
        <v>97</v>
      </c>
      <c r="E28" t="s">
        <v>83</v>
      </c>
    </row>
    <row r="29" spans="1:5" x14ac:dyDescent="0.35">
      <c r="A29" t="s">
        <v>84</v>
      </c>
      <c r="B29" t="s">
        <v>29</v>
      </c>
      <c r="C29" t="s">
        <v>85</v>
      </c>
      <c r="D29">
        <v>107</v>
      </c>
      <c r="E29" t="s">
        <v>20</v>
      </c>
    </row>
    <row r="30" spans="1:5" x14ac:dyDescent="0.35">
      <c r="A30" t="s">
        <v>86</v>
      </c>
      <c r="B30" t="s">
        <v>29</v>
      </c>
      <c r="C30" t="s">
        <v>87</v>
      </c>
      <c r="D30">
        <v>99</v>
      </c>
      <c r="E30" t="s">
        <v>88</v>
      </c>
    </row>
    <row r="31" spans="1:5" x14ac:dyDescent="0.35">
      <c r="A31" t="s">
        <v>89</v>
      </c>
      <c r="B31" t="s">
        <v>29</v>
      </c>
      <c r="C31" t="s">
        <v>90</v>
      </c>
      <c r="D31">
        <v>95</v>
      </c>
      <c r="E31" t="s">
        <v>16</v>
      </c>
    </row>
    <row r="32" spans="1:5" x14ac:dyDescent="0.35">
      <c r="A32" t="s">
        <v>91</v>
      </c>
      <c r="B32" t="s">
        <v>6</v>
      </c>
      <c r="C32" t="s">
        <v>92</v>
      </c>
      <c r="D32">
        <v>37</v>
      </c>
      <c r="E32" t="s">
        <v>93</v>
      </c>
    </row>
    <row r="33" spans="1:5" x14ac:dyDescent="0.35">
      <c r="A33" t="s">
        <v>94</v>
      </c>
      <c r="B33" t="s">
        <v>95</v>
      </c>
      <c r="C33" t="s">
        <v>96</v>
      </c>
      <c r="D33">
        <v>89</v>
      </c>
      <c r="E33" t="s">
        <v>20</v>
      </c>
    </row>
    <row r="34" spans="1:5" x14ac:dyDescent="0.35">
      <c r="A34" t="s">
        <v>97</v>
      </c>
      <c r="B34" t="s">
        <v>98</v>
      </c>
      <c r="C34" t="s">
        <v>99</v>
      </c>
      <c r="D34">
        <v>83</v>
      </c>
      <c r="E34" t="s">
        <v>88</v>
      </c>
    </row>
    <row r="35" spans="1:5" x14ac:dyDescent="0.35">
      <c r="A35" t="s">
        <v>100</v>
      </c>
      <c r="B35" t="s">
        <v>29</v>
      </c>
      <c r="C35" t="s">
        <v>101</v>
      </c>
      <c r="D35">
        <v>46</v>
      </c>
      <c r="E35" t="s">
        <v>102</v>
      </c>
    </row>
    <row r="36" spans="1:5" x14ac:dyDescent="0.35">
      <c r="A36" t="s">
        <v>103</v>
      </c>
      <c r="B36" t="s">
        <v>95</v>
      </c>
      <c r="C36" t="s">
        <v>104</v>
      </c>
      <c r="D36">
        <v>85</v>
      </c>
      <c r="E36" t="s">
        <v>20</v>
      </c>
    </row>
    <row r="37" spans="1:5" x14ac:dyDescent="0.35">
      <c r="A37" t="s">
        <v>105</v>
      </c>
      <c r="B37" t="s">
        <v>29</v>
      </c>
      <c r="C37" t="s">
        <v>106</v>
      </c>
      <c r="D37">
        <v>88</v>
      </c>
      <c r="E37" t="s">
        <v>16</v>
      </c>
    </row>
    <row r="38" spans="1:5" x14ac:dyDescent="0.35">
      <c r="A38" t="s">
        <v>107</v>
      </c>
      <c r="B38" t="s">
        <v>6</v>
      </c>
      <c r="C38" t="s">
        <v>108</v>
      </c>
      <c r="D38">
        <v>86</v>
      </c>
      <c r="E38" t="s">
        <v>88</v>
      </c>
    </row>
    <row r="39" spans="1:5" x14ac:dyDescent="0.35">
      <c r="A39" t="s">
        <v>109</v>
      </c>
      <c r="B39" t="s">
        <v>43</v>
      </c>
      <c r="C39" t="s">
        <v>110</v>
      </c>
      <c r="D39">
        <v>105</v>
      </c>
      <c r="E39" t="s">
        <v>111</v>
      </c>
    </row>
    <row r="40" spans="1:5" x14ac:dyDescent="0.35">
      <c r="A40" t="s">
        <v>112</v>
      </c>
      <c r="B40" t="s">
        <v>14</v>
      </c>
      <c r="C40" t="s">
        <v>113</v>
      </c>
      <c r="D40">
        <v>95</v>
      </c>
      <c r="E40" t="s">
        <v>20</v>
      </c>
    </row>
    <row r="41" spans="1:5" x14ac:dyDescent="0.35">
      <c r="A41" t="s">
        <v>114</v>
      </c>
      <c r="B41" t="s">
        <v>26</v>
      </c>
      <c r="C41" t="s">
        <v>115</v>
      </c>
      <c r="D41">
        <v>80</v>
      </c>
      <c r="E41" t="s">
        <v>88</v>
      </c>
    </row>
    <row r="42" spans="1:5" x14ac:dyDescent="0.35">
      <c r="A42" t="s">
        <v>116</v>
      </c>
      <c r="B42" t="s">
        <v>117</v>
      </c>
      <c r="C42" t="s">
        <v>118</v>
      </c>
      <c r="D42">
        <v>4</v>
      </c>
      <c r="E42" t="s">
        <v>20</v>
      </c>
    </row>
    <row r="43" spans="1:5" x14ac:dyDescent="0.35">
      <c r="A43" t="s">
        <v>119</v>
      </c>
      <c r="B43" t="s">
        <v>43</v>
      </c>
      <c r="C43" t="s">
        <v>120</v>
      </c>
      <c r="D43">
        <v>93</v>
      </c>
      <c r="E43" t="s">
        <v>16</v>
      </c>
    </row>
    <row r="44" spans="1:5" x14ac:dyDescent="0.35">
      <c r="A44" t="s">
        <v>121</v>
      </c>
      <c r="B44" t="s">
        <v>122</v>
      </c>
      <c r="C44" t="s">
        <v>123</v>
      </c>
      <c r="D44">
        <v>100</v>
      </c>
      <c r="E44" t="s">
        <v>20</v>
      </c>
    </row>
    <row r="45" spans="1:5" x14ac:dyDescent="0.35">
      <c r="A45" t="s">
        <v>124</v>
      </c>
      <c r="B45" t="s">
        <v>10</v>
      </c>
      <c r="C45" t="s">
        <v>30</v>
      </c>
      <c r="D45">
        <v>106</v>
      </c>
      <c r="E45" t="s">
        <v>125</v>
      </c>
    </row>
    <row r="46" spans="1:5" x14ac:dyDescent="0.35">
      <c r="A46" t="s">
        <v>126</v>
      </c>
      <c r="B46" t="s">
        <v>127</v>
      </c>
      <c r="C46" t="s">
        <v>128</v>
      </c>
      <c r="D46">
        <v>97</v>
      </c>
      <c r="E46" t="s">
        <v>20</v>
      </c>
    </row>
    <row r="47" spans="1:5" x14ac:dyDescent="0.35">
      <c r="A47" t="s">
        <v>129</v>
      </c>
      <c r="B47" t="s">
        <v>10</v>
      </c>
      <c r="C47" t="s">
        <v>130</v>
      </c>
      <c r="D47">
        <v>106</v>
      </c>
      <c r="E47" t="s">
        <v>24</v>
      </c>
    </row>
    <row r="48" spans="1:5" x14ac:dyDescent="0.35">
      <c r="A48" t="s">
        <v>131</v>
      </c>
      <c r="B48" t="s">
        <v>95</v>
      </c>
      <c r="C48" t="s">
        <v>132</v>
      </c>
      <c r="D48">
        <v>103</v>
      </c>
      <c r="E48" t="s">
        <v>133</v>
      </c>
    </row>
    <row r="49" spans="1:5" x14ac:dyDescent="0.35">
      <c r="A49" t="s">
        <v>134</v>
      </c>
      <c r="B49" t="s">
        <v>29</v>
      </c>
      <c r="C49" t="s">
        <v>135</v>
      </c>
      <c r="D49">
        <v>80</v>
      </c>
      <c r="E49" t="s">
        <v>20</v>
      </c>
    </row>
    <row r="50" spans="1:5" x14ac:dyDescent="0.35">
      <c r="A50" t="s">
        <v>136</v>
      </c>
      <c r="B50" t="s">
        <v>29</v>
      </c>
      <c r="C50" t="s">
        <v>137</v>
      </c>
      <c r="D50">
        <v>101</v>
      </c>
      <c r="E50" t="s">
        <v>20</v>
      </c>
    </row>
    <row r="51" spans="1:5" x14ac:dyDescent="0.35">
      <c r="A51" t="s">
        <v>138</v>
      </c>
      <c r="B51" t="s">
        <v>139</v>
      </c>
      <c r="C51" t="s">
        <v>140</v>
      </c>
      <c r="D51">
        <v>119</v>
      </c>
      <c r="E51" t="s">
        <v>20</v>
      </c>
    </row>
    <row r="52" spans="1:5" x14ac:dyDescent="0.35">
      <c r="A52" t="s">
        <v>141</v>
      </c>
      <c r="B52" t="s">
        <v>26</v>
      </c>
      <c r="C52" t="s">
        <v>142</v>
      </c>
      <c r="D52">
        <v>80</v>
      </c>
      <c r="E52" t="s">
        <v>88</v>
      </c>
    </row>
    <row r="53" spans="1:5" x14ac:dyDescent="0.35">
      <c r="A53" t="s">
        <v>143</v>
      </c>
      <c r="B53" t="s">
        <v>144</v>
      </c>
      <c r="C53" t="s">
        <v>145</v>
      </c>
      <c r="D53">
        <v>89</v>
      </c>
      <c r="E53" t="s">
        <v>20</v>
      </c>
    </row>
    <row r="54" spans="1:5" x14ac:dyDescent="0.35">
      <c r="A54" t="s">
        <v>146</v>
      </c>
      <c r="B54" t="s">
        <v>147</v>
      </c>
      <c r="C54" t="s">
        <v>148</v>
      </c>
      <c r="D54">
        <v>94</v>
      </c>
      <c r="E54" t="s">
        <v>20</v>
      </c>
    </row>
    <row r="55" spans="1:5" x14ac:dyDescent="0.35">
      <c r="A55" t="s">
        <v>149</v>
      </c>
      <c r="B55" t="s">
        <v>43</v>
      </c>
      <c r="C55" t="s">
        <v>23</v>
      </c>
      <c r="D55">
        <v>93</v>
      </c>
      <c r="E55" t="s">
        <v>12</v>
      </c>
    </row>
    <row r="56" spans="1:5" x14ac:dyDescent="0.35">
      <c r="A56" t="s">
        <v>150</v>
      </c>
      <c r="B56" t="s">
        <v>29</v>
      </c>
      <c r="C56" t="s">
        <v>151</v>
      </c>
      <c r="D56">
        <v>96</v>
      </c>
      <c r="E56" t="s">
        <v>102</v>
      </c>
    </row>
    <row r="57" spans="1:5" x14ac:dyDescent="0.35">
      <c r="A57" t="s">
        <v>152</v>
      </c>
      <c r="B57" t="s">
        <v>153</v>
      </c>
      <c r="C57" t="s">
        <v>154</v>
      </c>
      <c r="D57">
        <v>113</v>
      </c>
      <c r="E57" t="s">
        <v>20</v>
      </c>
    </row>
    <row r="58" spans="1:5" x14ac:dyDescent="0.35">
      <c r="A58" t="s">
        <v>155</v>
      </c>
      <c r="B58" t="s">
        <v>43</v>
      </c>
      <c r="C58" t="s">
        <v>156</v>
      </c>
      <c r="D58">
        <v>86</v>
      </c>
      <c r="E58" t="s">
        <v>49</v>
      </c>
    </row>
    <row r="59" spans="1:5" x14ac:dyDescent="0.35">
      <c r="A59" t="s">
        <v>157</v>
      </c>
      <c r="B59" t="s">
        <v>10</v>
      </c>
      <c r="C59" t="s">
        <v>158</v>
      </c>
      <c r="D59">
        <v>100</v>
      </c>
      <c r="E59" t="s">
        <v>20</v>
      </c>
    </row>
    <row r="60" spans="1:5" x14ac:dyDescent="0.35">
      <c r="A60" t="s">
        <v>159</v>
      </c>
      <c r="B60" t="s">
        <v>47</v>
      </c>
      <c r="C60" t="s">
        <v>160</v>
      </c>
      <c r="D60">
        <v>102</v>
      </c>
      <c r="E60" t="s">
        <v>133</v>
      </c>
    </row>
    <row r="61" spans="1:5" x14ac:dyDescent="0.35">
      <c r="A61" t="s">
        <v>161</v>
      </c>
      <c r="B61" t="s">
        <v>95</v>
      </c>
      <c r="C61" t="s">
        <v>162</v>
      </c>
      <c r="D61">
        <v>86</v>
      </c>
      <c r="E61" t="s">
        <v>163</v>
      </c>
    </row>
    <row r="62" spans="1:5" x14ac:dyDescent="0.35">
      <c r="A62" t="s">
        <v>164</v>
      </c>
      <c r="B62" t="s">
        <v>10</v>
      </c>
      <c r="C62" t="s">
        <v>165</v>
      </c>
      <c r="D62">
        <v>104</v>
      </c>
      <c r="E62" t="s">
        <v>20</v>
      </c>
    </row>
    <row r="63" spans="1:5" x14ac:dyDescent="0.35">
      <c r="A63" t="s">
        <v>166</v>
      </c>
      <c r="B63" t="s">
        <v>51</v>
      </c>
      <c r="C63" t="s">
        <v>167</v>
      </c>
      <c r="D63">
        <v>88</v>
      </c>
      <c r="E63" t="s">
        <v>20</v>
      </c>
    </row>
    <row r="64" spans="1:5" x14ac:dyDescent="0.35">
      <c r="A64" t="s">
        <v>168</v>
      </c>
      <c r="B64" t="s">
        <v>169</v>
      </c>
      <c r="C64" t="s">
        <v>170</v>
      </c>
      <c r="D64">
        <v>97</v>
      </c>
      <c r="E64" t="s">
        <v>20</v>
      </c>
    </row>
    <row r="65" spans="1:5" x14ac:dyDescent="0.35">
      <c r="A65" t="s">
        <v>171</v>
      </c>
      <c r="B65" t="s">
        <v>172</v>
      </c>
      <c r="C65" t="s">
        <v>173</v>
      </c>
      <c r="D65">
        <v>105</v>
      </c>
      <c r="E65" t="s">
        <v>49</v>
      </c>
    </row>
    <row r="66" spans="1:5" x14ac:dyDescent="0.35">
      <c r="A66" t="s">
        <v>174</v>
      </c>
      <c r="B66" t="s">
        <v>175</v>
      </c>
      <c r="C66" t="s">
        <v>176</v>
      </c>
      <c r="D66">
        <v>90</v>
      </c>
      <c r="E66" t="s">
        <v>20</v>
      </c>
    </row>
    <row r="67" spans="1:5" x14ac:dyDescent="0.35">
      <c r="A67" t="s">
        <v>177</v>
      </c>
      <c r="B67" t="s">
        <v>29</v>
      </c>
      <c r="C67" t="s">
        <v>178</v>
      </c>
      <c r="D67">
        <v>99</v>
      </c>
      <c r="E67" t="s">
        <v>20</v>
      </c>
    </row>
    <row r="68" spans="1:5" x14ac:dyDescent="0.35">
      <c r="A68" t="s">
        <v>179</v>
      </c>
      <c r="B68" t="s">
        <v>180</v>
      </c>
      <c r="C68" t="s">
        <v>181</v>
      </c>
      <c r="D68">
        <v>10</v>
      </c>
      <c r="E68" t="s">
        <v>20</v>
      </c>
    </row>
    <row r="69" spans="1:5" x14ac:dyDescent="0.35">
      <c r="A69" t="s">
        <v>182</v>
      </c>
      <c r="B69" t="s">
        <v>47</v>
      </c>
      <c r="C69" t="s">
        <v>183</v>
      </c>
      <c r="D69">
        <v>106</v>
      </c>
      <c r="E69" t="s">
        <v>20</v>
      </c>
    </row>
    <row r="70" spans="1:5" x14ac:dyDescent="0.35">
      <c r="A70" t="s">
        <v>184</v>
      </c>
      <c r="B70" t="s">
        <v>185</v>
      </c>
      <c r="C70" t="s">
        <v>186</v>
      </c>
      <c r="D70">
        <v>98</v>
      </c>
      <c r="E70" t="s">
        <v>20</v>
      </c>
    </row>
    <row r="71" spans="1:5" x14ac:dyDescent="0.35">
      <c r="A71" t="s">
        <v>187</v>
      </c>
      <c r="B71" t="s">
        <v>29</v>
      </c>
      <c r="C71" t="s">
        <v>188</v>
      </c>
      <c r="D71">
        <v>94</v>
      </c>
      <c r="E71" t="s">
        <v>20</v>
      </c>
    </row>
    <row r="72" spans="1:5" x14ac:dyDescent="0.35">
      <c r="A72" t="s">
        <v>189</v>
      </c>
      <c r="B72" t="s">
        <v>43</v>
      </c>
      <c r="C72" t="s">
        <v>99</v>
      </c>
      <c r="D72">
        <v>112</v>
      </c>
      <c r="E72" t="s">
        <v>190</v>
      </c>
    </row>
    <row r="73" spans="1:5" x14ac:dyDescent="0.35">
      <c r="A73" t="s">
        <v>191</v>
      </c>
      <c r="B73" t="s">
        <v>95</v>
      </c>
      <c r="C73" t="s">
        <v>192</v>
      </c>
      <c r="D73">
        <v>117</v>
      </c>
      <c r="E73" t="s">
        <v>193</v>
      </c>
    </row>
    <row r="74" spans="1:5" x14ac:dyDescent="0.35">
      <c r="A74" t="s">
        <v>194</v>
      </c>
      <c r="B74" t="s">
        <v>29</v>
      </c>
      <c r="C74" t="s">
        <v>195</v>
      </c>
      <c r="D74">
        <v>70</v>
      </c>
      <c r="E74" t="s">
        <v>20</v>
      </c>
    </row>
    <row r="75" spans="1:5" x14ac:dyDescent="0.35">
      <c r="A75" t="s">
        <v>196</v>
      </c>
      <c r="B75" t="s">
        <v>29</v>
      </c>
      <c r="C75" t="s">
        <v>197</v>
      </c>
      <c r="D75">
        <v>81</v>
      </c>
      <c r="E75" t="s">
        <v>20</v>
      </c>
    </row>
    <row r="76" spans="1:5" x14ac:dyDescent="0.35">
      <c r="A76" t="s">
        <v>198</v>
      </c>
      <c r="B76" t="s">
        <v>29</v>
      </c>
      <c r="C76" t="s">
        <v>199</v>
      </c>
      <c r="D76">
        <v>103</v>
      </c>
      <c r="E76" t="s">
        <v>20</v>
      </c>
    </row>
    <row r="77" spans="1:5" x14ac:dyDescent="0.35">
      <c r="A77" t="s">
        <v>200</v>
      </c>
      <c r="B77" t="s">
        <v>29</v>
      </c>
      <c r="C77" t="s">
        <v>201</v>
      </c>
      <c r="D77">
        <v>94</v>
      </c>
      <c r="E77" t="s">
        <v>20</v>
      </c>
    </row>
    <row r="78" spans="1:5" x14ac:dyDescent="0.35">
      <c r="A78" t="s">
        <v>202</v>
      </c>
      <c r="B78" t="s">
        <v>203</v>
      </c>
      <c r="C78" t="s">
        <v>92</v>
      </c>
      <c r="D78">
        <v>98</v>
      </c>
      <c r="E78" t="s">
        <v>20</v>
      </c>
    </row>
    <row r="79" spans="1:5" x14ac:dyDescent="0.35">
      <c r="A79" t="s">
        <v>204</v>
      </c>
      <c r="B79" t="s">
        <v>29</v>
      </c>
      <c r="C79" t="s">
        <v>205</v>
      </c>
      <c r="D79">
        <v>131</v>
      </c>
      <c r="E79" t="s">
        <v>20</v>
      </c>
    </row>
    <row r="80" spans="1:5" x14ac:dyDescent="0.35">
      <c r="A80" t="s">
        <v>206</v>
      </c>
      <c r="B80" t="s">
        <v>207</v>
      </c>
      <c r="C80" t="s">
        <v>208</v>
      </c>
      <c r="D80">
        <v>87</v>
      </c>
      <c r="E80" t="s">
        <v>20</v>
      </c>
    </row>
    <row r="81" spans="1:5" x14ac:dyDescent="0.35">
      <c r="A81" t="s">
        <v>209</v>
      </c>
      <c r="B81" t="s">
        <v>210</v>
      </c>
      <c r="C81" t="s">
        <v>211</v>
      </c>
      <c r="D81">
        <v>60</v>
      </c>
      <c r="E81" t="s">
        <v>20</v>
      </c>
    </row>
    <row r="82" spans="1:5" x14ac:dyDescent="0.35">
      <c r="A82" t="s">
        <v>212</v>
      </c>
      <c r="B82" t="s">
        <v>6</v>
      </c>
      <c r="C82" t="s">
        <v>213</v>
      </c>
      <c r="D82">
        <v>112</v>
      </c>
      <c r="E82" t="s">
        <v>20</v>
      </c>
    </row>
    <row r="83" spans="1:5" x14ac:dyDescent="0.35">
      <c r="A83" t="s">
        <v>214</v>
      </c>
      <c r="B83" t="s">
        <v>215</v>
      </c>
      <c r="C83" t="s">
        <v>69</v>
      </c>
      <c r="D83">
        <v>102</v>
      </c>
      <c r="E83" t="s">
        <v>20</v>
      </c>
    </row>
    <row r="84" spans="1:5" x14ac:dyDescent="0.35">
      <c r="A84" t="s">
        <v>216</v>
      </c>
      <c r="B84" t="s">
        <v>43</v>
      </c>
      <c r="C84" t="s">
        <v>44</v>
      </c>
      <c r="D84">
        <v>99</v>
      </c>
      <c r="E84" t="s">
        <v>16</v>
      </c>
    </row>
    <row r="85" spans="1:5" x14ac:dyDescent="0.35">
      <c r="A85" t="s">
        <v>217</v>
      </c>
      <c r="B85" t="s">
        <v>29</v>
      </c>
      <c r="C85" t="s">
        <v>218</v>
      </c>
      <c r="D85">
        <v>116</v>
      </c>
      <c r="E85" t="s">
        <v>20</v>
      </c>
    </row>
    <row r="86" spans="1:5" x14ac:dyDescent="0.35">
      <c r="A86" t="s">
        <v>219</v>
      </c>
      <c r="B86" t="s">
        <v>47</v>
      </c>
      <c r="C86" t="s">
        <v>220</v>
      </c>
      <c r="D86">
        <v>92</v>
      </c>
      <c r="E86" t="s">
        <v>20</v>
      </c>
    </row>
    <row r="87" spans="1:5" x14ac:dyDescent="0.35">
      <c r="A87" t="s">
        <v>221</v>
      </c>
      <c r="B87" t="s">
        <v>29</v>
      </c>
      <c r="C87" t="s">
        <v>222</v>
      </c>
      <c r="D87">
        <v>83</v>
      </c>
      <c r="E87" t="s">
        <v>88</v>
      </c>
    </row>
    <row r="88" spans="1:5" x14ac:dyDescent="0.35">
      <c r="A88" t="s">
        <v>223</v>
      </c>
      <c r="B88" t="s">
        <v>10</v>
      </c>
      <c r="C88" t="s">
        <v>224</v>
      </c>
      <c r="D88">
        <v>97</v>
      </c>
      <c r="E88" t="s">
        <v>20</v>
      </c>
    </row>
    <row r="89" spans="1:5" x14ac:dyDescent="0.35">
      <c r="A89" t="s">
        <v>225</v>
      </c>
      <c r="B89" t="s">
        <v>43</v>
      </c>
      <c r="C89" t="s">
        <v>226</v>
      </c>
      <c r="D89">
        <v>112</v>
      </c>
      <c r="E89" t="s">
        <v>24</v>
      </c>
    </row>
    <row r="90" spans="1:5" x14ac:dyDescent="0.35">
      <c r="A90" t="s">
        <v>227</v>
      </c>
      <c r="B90" t="s">
        <v>10</v>
      </c>
      <c r="C90" t="s">
        <v>228</v>
      </c>
      <c r="D90">
        <v>116</v>
      </c>
      <c r="E90" t="s">
        <v>12</v>
      </c>
    </row>
    <row r="91" spans="1:5" x14ac:dyDescent="0.35">
      <c r="A91" t="s">
        <v>229</v>
      </c>
      <c r="B91" t="s">
        <v>10</v>
      </c>
      <c r="C91" t="s">
        <v>230</v>
      </c>
      <c r="D91">
        <v>102</v>
      </c>
      <c r="E91" t="s">
        <v>88</v>
      </c>
    </row>
    <row r="92" spans="1:5" x14ac:dyDescent="0.35">
      <c r="A92" t="s">
        <v>231</v>
      </c>
      <c r="B92" t="s">
        <v>95</v>
      </c>
      <c r="C92" t="s">
        <v>232</v>
      </c>
      <c r="D92">
        <v>121</v>
      </c>
      <c r="E92" t="s">
        <v>20</v>
      </c>
    </row>
    <row r="93" spans="1:5" x14ac:dyDescent="0.35">
      <c r="A93" t="s">
        <v>233</v>
      </c>
      <c r="B93" t="s">
        <v>47</v>
      </c>
      <c r="C93" t="s">
        <v>234</v>
      </c>
      <c r="D93">
        <v>95</v>
      </c>
      <c r="E93" t="s">
        <v>88</v>
      </c>
    </row>
    <row r="94" spans="1:5" x14ac:dyDescent="0.35">
      <c r="A94" t="s">
        <v>235</v>
      </c>
      <c r="B94" t="s">
        <v>43</v>
      </c>
      <c r="C94" t="s">
        <v>236</v>
      </c>
      <c r="D94">
        <v>93</v>
      </c>
      <c r="E94" t="s">
        <v>12</v>
      </c>
    </row>
    <row r="95" spans="1:5" x14ac:dyDescent="0.35">
      <c r="A95" t="s">
        <v>237</v>
      </c>
      <c r="B95" t="s">
        <v>43</v>
      </c>
      <c r="C95" t="s">
        <v>238</v>
      </c>
      <c r="D95">
        <v>92</v>
      </c>
      <c r="E95" t="s">
        <v>20</v>
      </c>
    </row>
    <row r="96" spans="1:5" x14ac:dyDescent="0.35">
      <c r="A96" t="s">
        <v>239</v>
      </c>
      <c r="B96" t="s">
        <v>240</v>
      </c>
      <c r="C96" t="s">
        <v>156</v>
      </c>
      <c r="D96">
        <v>98</v>
      </c>
      <c r="E96" t="s">
        <v>20</v>
      </c>
    </row>
    <row r="97" spans="1:5" x14ac:dyDescent="0.35">
      <c r="A97" t="s">
        <v>241</v>
      </c>
      <c r="B97" t="s">
        <v>47</v>
      </c>
      <c r="C97" t="s">
        <v>242</v>
      </c>
      <c r="D97">
        <v>85</v>
      </c>
      <c r="E97" t="s">
        <v>20</v>
      </c>
    </row>
    <row r="98" spans="1:5" x14ac:dyDescent="0.35">
      <c r="A98" t="s">
        <v>243</v>
      </c>
      <c r="B98" t="s">
        <v>29</v>
      </c>
      <c r="C98" t="s">
        <v>244</v>
      </c>
      <c r="D98">
        <v>78</v>
      </c>
      <c r="E98" t="s">
        <v>12</v>
      </c>
    </row>
    <row r="99" spans="1:5" x14ac:dyDescent="0.35">
      <c r="A99" t="s">
        <v>245</v>
      </c>
      <c r="B99" t="s">
        <v>43</v>
      </c>
      <c r="C99" t="s">
        <v>48</v>
      </c>
      <c r="D99">
        <v>120</v>
      </c>
      <c r="E99" t="s">
        <v>24</v>
      </c>
    </row>
    <row r="100" spans="1:5" x14ac:dyDescent="0.35">
      <c r="A100" t="s">
        <v>246</v>
      </c>
      <c r="B100" t="s">
        <v>247</v>
      </c>
      <c r="C100" t="s">
        <v>248</v>
      </c>
      <c r="D100">
        <v>92</v>
      </c>
      <c r="E100" t="s">
        <v>125</v>
      </c>
    </row>
    <row r="101" spans="1:5" x14ac:dyDescent="0.35">
      <c r="A101" t="s">
        <v>249</v>
      </c>
      <c r="B101" t="s">
        <v>250</v>
      </c>
      <c r="C101" t="s">
        <v>37</v>
      </c>
      <c r="D101">
        <v>101</v>
      </c>
      <c r="E101" t="s">
        <v>20</v>
      </c>
    </row>
    <row r="102" spans="1:5" x14ac:dyDescent="0.35">
      <c r="A102" t="s">
        <v>251</v>
      </c>
      <c r="B102" t="s">
        <v>10</v>
      </c>
      <c r="C102" t="s">
        <v>252</v>
      </c>
      <c r="D102">
        <v>119</v>
      </c>
      <c r="E102" t="s">
        <v>24</v>
      </c>
    </row>
    <row r="103" spans="1:5" x14ac:dyDescent="0.35">
      <c r="A103" t="s">
        <v>253</v>
      </c>
      <c r="B103" t="s">
        <v>95</v>
      </c>
      <c r="C103" t="s">
        <v>254</v>
      </c>
      <c r="D103">
        <v>101</v>
      </c>
      <c r="E103" t="s">
        <v>20</v>
      </c>
    </row>
    <row r="104" spans="1:5" x14ac:dyDescent="0.35">
      <c r="A104" t="s">
        <v>255</v>
      </c>
      <c r="B104" t="s">
        <v>43</v>
      </c>
      <c r="C104" t="s">
        <v>82</v>
      </c>
      <c r="D104">
        <v>112</v>
      </c>
      <c r="E104" t="s">
        <v>88</v>
      </c>
    </row>
    <row r="105" spans="1:5" x14ac:dyDescent="0.35">
      <c r="A105" t="s">
        <v>256</v>
      </c>
      <c r="B105" t="s">
        <v>29</v>
      </c>
      <c r="C105" t="s">
        <v>257</v>
      </c>
      <c r="D105">
        <v>96</v>
      </c>
      <c r="E105" t="s">
        <v>20</v>
      </c>
    </row>
    <row r="106" spans="1:5" x14ac:dyDescent="0.35">
      <c r="A106" t="s">
        <v>258</v>
      </c>
      <c r="B106" t="s">
        <v>259</v>
      </c>
      <c r="C106" t="s">
        <v>260</v>
      </c>
      <c r="D106">
        <v>114</v>
      </c>
      <c r="E106" t="s">
        <v>20</v>
      </c>
    </row>
    <row r="107" spans="1:5" x14ac:dyDescent="0.35">
      <c r="A107" t="s">
        <v>261</v>
      </c>
      <c r="B107" t="s">
        <v>47</v>
      </c>
      <c r="C107" t="s">
        <v>262</v>
      </c>
      <c r="D107">
        <v>97</v>
      </c>
      <c r="E107" t="s">
        <v>20</v>
      </c>
    </row>
    <row r="108" spans="1:5" x14ac:dyDescent="0.35">
      <c r="A108" t="s">
        <v>263</v>
      </c>
      <c r="B108" t="s">
        <v>264</v>
      </c>
      <c r="C108" t="s">
        <v>265</v>
      </c>
      <c r="D108">
        <v>101</v>
      </c>
      <c r="E108" t="s">
        <v>16</v>
      </c>
    </row>
    <row r="109" spans="1:5" x14ac:dyDescent="0.35">
      <c r="A109" t="s">
        <v>266</v>
      </c>
      <c r="B109" t="s">
        <v>267</v>
      </c>
      <c r="C109" t="s">
        <v>268</v>
      </c>
      <c r="D109">
        <v>56</v>
      </c>
      <c r="E109" t="s">
        <v>20</v>
      </c>
    </row>
    <row r="110" spans="1:5" x14ac:dyDescent="0.35">
      <c r="A110" t="s">
        <v>269</v>
      </c>
      <c r="B110" t="s">
        <v>270</v>
      </c>
      <c r="C110" t="s">
        <v>271</v>
      </c>
      <c r="D110">
        <v>100</v>
      </c>
      <c r="E110" t="s">
        <v>20</v>
      </c>
    </row>
    <row r="111" spans="1:5" x14ac:dyDescent="0.35">
      <c r="A111" t="s">
        <v>272</v>
      </c>
      <c r="B111" t="s">
        <v>10</v>
      </c>
      <c r="C111" t="s">
        <v>273</v>
      </c>
      <c r="D111">
        <v>94</v>
      </c>
      <c r="E111" t="s">
        <v>111</v>
      </c>
    </row>
    <row r="112" spans="1:5" x14ac:dyDescent="0.35">
      <c r="A112" t="s">
        <v>274</v>
      </c>
      <c r="B112" t="s">
        <v>29</v>
      </c>
      <c r="C112" t="s">
        <v>275</v>
      </c>
      <c r="D112">
        <v>94</v>
      </c>
      <c r="E112" t="s">
        <v>102</v>
      </c>
    </row>
    <row r="113" spans="1:5" x14ac:dyDescent="0.35">
      <c r="A113" t="s">
        <v>276</v>
      </c>
      <c r="B113" t="s">
        <v>6</v>
      </c>
      <c r="C113" t="s">
        <v>277</v>
      </c>
      <c r="D113">
        <v>21</v>
      </c>
      <c r="E113" t="s">
        <v>20</v>
      </c>
    </row>
    <row r="114" spans="1:5" x14ac:dyDescent="0.35">
      <c r="A114" t="s">
        <v>278</v>
      </c>
      <c r="B114" t="s">
        <v>29</v>
      </c>
      <c r="C114" t="s">
        <v>279</v>
      </c>
      <c r="D114">
        <v>104</v>
      </c>
      <c r="E114" t="s">
        <v>24</v>
      </c>
    </row>
    <row r="115" spans="1:5" x14ac:dyDescent="0.35">
      <c r="A115" t="s">
        <v>280</v>
      </c>
      <c r="B115" t="s">
        <v>210</v>
      </c>
      <c r="C115" t="s">
        <v>281</v>
      </c>
      <c r="D115">
        <v>63</v>
      </c>
      <c r="E115" t="s">
        <v>20</v>
      </c>
    </row>
    <row r="116" spans="1:5" x14ac:dyDescent="0.35">
      <c r="A116" t="s">
        <v>282</v>
      </c>
      <c r="B116" t="s">
        <v>47</v>
      </c>
      <c r="C116" t="s">
        <v>137</v>
      </c>
      <c r="D116">
        <v>100</v>
      </c>
      <c r="E116" t="s">
        <v>20</v>
      </c>
    </row>
    <row r="117" spans="1:5" x14ac:dyDescent="0.35">
      <c r="A117" t="s">
        <v>283</v>
      </c>
      <c r="B117" t="s">
        <v>284</v>
      </c>
      <c r="C117" t="s">
        <v>285</v>
      </c>
      <c r="D117">
        <v>126</v>
      </c>
      <c r="E117" t="s">
        <v>20</v>
      </c>
    </row>
    <row r="118" spans="1:5" x14ac:dyDescent="0.35">
      <c r="A118" t="s">
        <v>286</v>
      </c>
      <c r="B118" t="s">
        <v>287</v>
      </c>
      <c r="C118" t="s">
        <v>120</v>
      </c>
      <c r="D118">
        <v>106</v>
      </c>
      <c r="E118" t="s">
        <v>20</v>
      </c>
    </row>
    <row r="119" spans="1:5" x14ac:dyDescent="0.35">
      <c r="A119" t="s">
        <v>288</v>
      </c>
      <c r="B119" t="s">
        <v>10</v>
      </c>
      <c r="C119" t="s">
        <v>160</v>
      </c>
      <c r="D119">
        <v>86</v>
      </c>
      <c r="E119" t="s">
        <v>289</v>
      </c>
    </row>
    <row r="120" spans="1:5" x14ac:dyDescent="0.35">
      <c r="A120" t="s">
        <v>290</v>
      </c>
      <c r="B120" t="s">
        <v>291</v>
      </c>
      <c r="C120" t="s">
        <v>292</v>
      </c>
      <c r="D120">
        <v>142</v>
      </c>
      <c r="E120" t="s">
        <v>293</v>
      </c>
    </row>
    <row r="121" spans="1:5" x14ac:dyDescent="0.35">
      <c r="A121" t="s">
        <v>294</v>
      </c>
      <c r="B121" t="s">
        <v>29</v>
      </c>
      <c r="C121" t="s">
        <v>19</v>
      </c>
      <c r="D121">
        <v>108</v>
      </c>
      <c r="E121" t="s">
        <v>20</v>
      </c>
    </row>
    <row r="122" spans="1:5" x14ac:dyDescent="0.35">
      <c r="A122" t="s">
        <v>295</v>
      </c>
      <c r="B122" t="s">
        <v>207</v>
      </c>
      <c r="C122" t="s">
        <v>296</v>
      </c>
      <c r="D122">
        <v>102</v>
      </c>
      <c r="E122" t="s">
        <v>20</v>
      </c>
    </row>
    <row r="123" spans="1:5" x14ac:dyDescent="0.35">
      <c r="A123" t="s">
        <v>297</v>
      </c>
      <c r="B123" t="s">
        <v>47</v>
      </c>
      <c r="C123" t="s">
        <v>298</v>
      </c>
      <c r="D123">
        <v>92</v>
      </c>
      <c r="E123" t="s">
        <v>20</v>
      </c>
    </row>
    <row r="124" spans="1:5" x14ac:dyDescent="0.35">
      <c r="A124" t="s">
        <v>299</v>
      </c>
      <c r="B124" t="s">
        <v>300</v>
      </c>
      <c r="C124" t="s">
        <v>301</v>
      </c>
      <c r="D124">
        <v>83</v>
      </c>
      <c r="E124" t="s">
        <v>20</v>
      </c>
    </row>
    <row r="125" spans="1:5" x14ac:dyDescent="0.35">
      <c r="A125" t="s">
        <v>302</v>
      </c>
      <c r="B125" t="s">
        <v>303</v>
      </c>
      <c r="C125" t="s">
        <v>304</v>
      </c>
      <c r="D125">
        <v>94</v>
      </c>
      <c r="E125" t="s">
        <v>20</v>
      </c>
    </row>
    <row r="126" spans="1:5" x14ac:dyDescent="0.35">
      <c r="A126" t="s">
        <v>305</v>
      </c>
      <c r="B126" t="s">
        <v>29</v>
      </c>
      <c r="C126" t="s">
        <v>306</v>
      </c>
      <c r="D126">
        <v>92</v>
      </c>
      <c r="E126" t="s">
        <v>20</v>
      </c>
    </row>
    <row r="127" spans="1:5" x14ac:dyDescent="0.35">
      <c r="A127" t="s">
        <v>307</v>
      </c>
      <c r="B127" t="s">
        <v>29</v>
      </c>
      <c r="C127" t="s">
        <v>308</v>
      </c>
      <c r="D127">
        <v>103</v>
      </c>
      <c r="E127" t="s">
        <v>20</v>
      </c>
    </row>
    <row r="128" spans="1:5" x14ac:dyDescent="0.35">
      <c r="A128" t="s">
        <v>309</v>
      </c>
      <c r="B128" t="s">
        <v>303</v>
      </c>
      <c r="C128" t="s">
        <v>310</v>
      </c>
      <c r="D128">
        <v>89</v>
      </c>
      <c r="E128" t="s">
        <v>311</v>
      </c>
    </row>
    <row r="129" spans="1:5" x14ac:dyDescent="0.35">
      <c r="A129" t="s">
        <v>312</v>
      </c>
      <c r="B129" t="s">
        <v>29</v>
      </c>
      <c r="C129" t="s">
        <v>313</v>
      </c>
      <c r="D129">
        <v>95</v>
      </c>
      <c r="E129" t="s">
        <v>20</v>
      </c>
    </row>
    <row r="130" spans="1:5" x14ac:dyDescent="0.35">
      <c r="A130" t="s">
        <v>314</v>
      </c>
      <c r="B130" t="s">
        <v>215</v>
      </c>
      <c r="C130" t="s">
        <v>260</v>
      </c>
      <c r="D130">
        <v>103</v>
      </c>
      <c r="E130" t="s">
        <v>102</v>
      </c>
    </row>
    <row r="131" spans="1:5" x14ac:dyDescent="0.35">
      <c r="A131" t="s">
        <v>315</v>
      </c>
      <c r="B131" t="s">
        <v>47</v>
      </c>
      <c r="C131" t="s">
        <v>316</v>
      </c>
      <c r="D131">
        <v>97</v>
      </c>
      <c r="E131" t="s">
        <v>20</v>
      </c>
    </row>
    <row r="132" spans="1:5" x14ac:dyDescent="0.35">
      <c r="A132" t="s">
        <v>317</v>
      </c>
      <c r="B132" t="s">
        <v>10</v>
      </c>
      <c r="C132" t="s">
        <v>318</v>
      </c>
      <c r="D132">
        <v>125</v>
      </c>
      <c r="E132" t="s">
        <v>20</v>
      </c>
    </row>
    <row r="133" spans="1:5" x14ac:dyDescent="0.35">
      <c r="A133" t="s">
        <v>319</v>
      </c>
      <c r="B133" t="s">
        <v>47</v>
      </c>
      <c r="C133" t="s">
        <v>320</v>
      </c>
      <c r="D133">
        <v>91</v>
      </c>
      <c r="E133" t="s">
        <v>20</v>
      </c>
    </row>
    <row r="134" spans="1:5" x14ac:dyDescent="0.35">
      <c r="A134" t="s">
        <v>321</v>
      </c>
      <c r="B134" t="s">
        <v>322</v>
      </c>
      <c r="C134" t="s">
        <v>323</v>
      </c>
      <c r="D134">
        <v>90</v>
      </c>
      <c r="E134" t="s">
        <v>31</v>
      </c>
    </row>
    <row r="135" spans="1:5" x14ac:dyDescent="0.35">
      <c r="A135" t="s">
        <v>324</v>
      </c>
      <c r="B135" t="s">
        <v>210</v>
      </c>
      <c r="C135" t="s">
        <v>325</v>
      </c>
      <c r="D135">
        <v>49</v>
      </c>
      <c r="E135" t="s">
        <v>20</v>
      </c>
    </row>
    <row r="136" spans="1:5" x14ac:dyDescent="0.35">
      <c r="A136" t="s">
        <v>326</v>
      </c>
      <c r="B136" t="s">
        <v>215</v>
      </c>
      <c r="C136" t="s">
        <v>327</v>
      </c>
      <c r="D136">
        <v>98</v>
      </c>
      <c r="E136" t="s">
        <v>20</v>
      </c>
    </row>
    <row r="137" spans="1:5" x14ac:dyDescent="0.35">
      <c r="A137" t="s">
        <v>328</v>
      </c>
      <c r="B137" t="s">
        <v>172</v>
      </c>
      <c r="C137" t="s">
        <v>213</v>
      </c>
      <c r="D137">
        <v>107</v>
      </c>
      <c r="E137" t="s">
        <v>16</v>
      </c>
    </row>
    <row r="138" spans="1:5" x14ac:dyDescent="0.35">
      <c r="A138" t="s">
        <v>329</v>
      </c>
      <c r="B138" t="s">
        <v>207</v>
      </c>
      <c r="C138" t="s">
        <v>330</v>
      </c>
      <c r="D138">
        <v>118</v>
      </c>
      <c r="E138" t="s">
        <v>20</v>
      </c>
    </row>
    <row r="139" spans="1:5" x14ac:dyDescent="0.35">
      <c r="A139" t="s">
        <v>331</v>
      </c>
      <c r="B139" t="s">
        <v>10</v>
      </c>
      <c r="C139" t="s">
        <v>332</v>
      </c>
      <c r="D139">
        <v>94</v>
      </c>
      <c r="E139" t="s">
        <v>12</v>
      </c>
    </row>
    <row r="140" spans="1:5" x14ac:dyDescent="0.35">
      <c r="A140" t="s">
        <v>333</v>
      </c>
      <c r="B140" t="s">
        <v>29</v>
      </c>
      <c r="C140" t="s">
        <v>11</v>
      </c>
      <c r="D140">
        <v>103</v>
      </c>
      <c r="E140" t="s">
        <v>20</v>
      </c>
    </row>
    <row r="141" spans="1:5" x14ac:dyDescent="0.35">
      <c r="A141" t="s">
        <v>334</v>
      </c>
      <c r="B141" t="s">
        <v>335</v>
      </c>
      <c r="C141" t="s">
        <v>120</v>
      </c>
      <c r="D141">
        <v>86</v>
      </c>
      <c r="E141" t="s">
        <v>20</v>
      </c>
    </row>
    <row r="142" spans="1:5" x14ac:dyDescent="0.35">
      <c r="A142" t="s">
        <v>336</v>
      </c>
      <c r="B142" t="s">
        <v>6</v>
      </c>
      <c r="C142" t="s">
        <v>337</v>
      </c>
      <c r="D142">
        <v>83</v>
      </c>
      <c r="E142" t="s">
        <v>20</v>
      </c>
    </row>
    <row r="143" spans="1:5" x14ac:dyDescent="0.35">
      <c r="A143" t="s">
        <v>338</v>
      </c>
      <c r="B143" t="s">
        <v>339</v>
      </c>
      <c r="C143" t="s">
        <v>340</v>
      </c>
      <c r="D143">
        <v>97</v>
      </c>
      <c r="E143" t="s">
        <v>20</v>
      </c>
    </row>
    <row r="144" spans="1:5" x14ac:dyDescent="0.35">
      <c r="A144" t="s">
        <v>341</v>
      </c>
      <c r="B144" t="s">
        <v>342</v>
      </c>
      <c r="C144" t="s">
        <v>343</v>
      </c>
      <c r="D144">
        <v>99</v>
      </c>
      <c r="E144" t="s">
        <v>16</v>
      </c>
    </row>
    <row r="145" spans="1:5" x14ac:dyDescent="0.35">
      <c r="A145" t="s">
        <v>344</v>
      </c>
      <c r="B145" t="s">
        <v>172</v>
      </c>
      <c r="C145" t="s">
        <v>345</v>
      </c>
      <c r="D145">
        <v>104</v>
      </c>
      <c r="E145" t="s">
        <v>20</v>
      </c>
    </row>
    <row r="146" spans="1:5" x14ac:dyDescent="0.35">
      <c r="A146" t="s">
        <v>346</v>
      </c>
      <c r="B146" t="s">
        <v>347</v>
      </c>
      <c r="C146" t="s">
        <v>348</v>
      </c>
      <c r="D146">
        <v>102</v>
      </c>
      <c r="E146" t="s">
        <v>12</v>
      </c>
    </row>
    <row r="147" spans="1:5" x14ac:dyDescent="0.35">
      <c r="A147" t="s">
        <v>349</v>
      </c>
      <c r="B147" t="s">
        <v>350</v>
      </c>
      <c r="C147" t="s">
        <v>351</v>
      </c>
      <c r="D147">
        <v>89</v>
      </c>
      <c r="E147" t="s">
        <v>20</v>
      </c>
    </row>
    <row r="148" spans="1:5" x14ac:dyDescent="0.35">
      <c r="A148" t="s">
        <v>352</v>
      </c>
      <c r="B148" t="s">
        <v>95</v>
      </c>
      <c r="C148" t="s">
        <v>353</v>
      </c>
      <c r="D148">
        <v>98</v>
      </c>
      <c r="E148" t="s">
        <v>20</v>
      </c>
    </row>
    <row r="149" spans="1:5" x14ac:dyDescent="0.35">
      <c r="A149" t="s">
        <v>354</v>
      </c>
      <c r="B149" t="s">
        <v>47</v>
      </c>
      <c r="C149" t="s">
        <v>355</v>
      </c>
      <c r="D149">
        <v>125</v>
      </c>
      <c r="E149" t="s">
        <v>24</v>
      </c>
    </row>
    <row r="150" spans="1:5" x14ac:dyDescent="0.35">
      <c r="A150" t="s">
        <v>356</v>
      </c>
      <c r="B150" t="s">
        <v>43</v>
      </c>
      <c r="C150" t="s">
        <v>357</v>
      </c>
      <c r="D150">
        <v>89</v>
      </c>
      <c r="E150" t="s">
        <v>20</v>
      </c>
    </row>
    <row r="151" spans="1:5" x14ac:dyDescent="0.35">
      <c r="A151" t="s">
        <v>358</v>
      </c>
      <c r="B151" t="s">
        <v>29</v>
      </c>
      <c r="C151" t="s">
        <v>359</v>
      </c>
      <c r="D151">
        <v>94</v>
      </c>
      <c r="E151" t="s">
        <v>20</v>
      </c>
    </row>
    <row r="152" spans="1:5" x14ac:dyDescent="0.35">
      <c r="A152" t="s">
        <v>360</v>
      </c>
      <c r="B152" t="s">
        <v>361</v>
      </c>
      <c r="C152" t="s">
        <v>362</v>
      </c>
      <c r="D152">
        <v>94</v>
      </c>
      <c r="E152" t="s">
        <v>20</v>
      </c>
    </row>
    <row r="153" spans="1:5" x14ac:dyDescent="0.35">
      <c r="A153" t="s">
        <v>363</v>
      </c>
      <c r="B153" t="s">
        <v>6</v>
      </c>
      <c r="C153" t="s">
        <v>364</v>
      </c>
      <c r="D153">
        <v>85</v>
      </c>
      <c r="E153" t="s">
        <v>193</v>
      </c>
    </row>
    <row r="154" spans="1:5" x14ac:dyDescent="0.35">
      <c r="A154" t="s">
        <v>365</v>
      </c>
      <c r="B154" t="s">
        <v>6</v>
      </c>
      <c r="C154" t="s">
        <v>366</v>
      </c>
      <c r="D154">
        <v>34</v>
      </c>
      <c r="E154" t="s">
        <v>20</v>
      </c>
    </row>
    <row r="155" spans="1:5" x14ac:dyDescent="0.35">
      <c r="A155" t="s">
        <v>367</v>
      </c>
      <c r="B155" t="s">
        <v>26</v>
      </c>
      <c r="C155" t="s">
        <v>368</v>
      </c>
      <c r="D155">
        <v>86</v>
      </c>
      <c r="E155" t="s">
        <v>20</v>
      </c>
    </row>
    <row r="156" spans="1:5" x14ac:dyDescent="0.35">
      <c r="A156" t="s">
        <v>369</v>
      </c>
      <c r="B156" t="s">
        <v>10</v>
      </c>
      <c r="C156" t="s">
        <v>337</v>
      </c>
      <c r="D156">
        <v>91</v>
      </c>
      <c r="E156" t="s">
        <v>133</v>
      </c>
    </row>
    <row r="157" spans="1:5" x14ac:dyDescent="0.35">
      <c r="A157" t="s">
        <v>370</v>
      </c>
      <c r="B157" t="s">
        <v>51</v>
      </c>
      <c r="C157" t="s">
        <v>371</v>
      </c>
      <c r="D157">
        <v>108</v>
      </c>
      <c r="E157" t="s">
        <v>20</v>
      </c>
    </row>
    <row r="158" spans="1:5" x14ac:dyDescent="0.35">
      <c r="A158" t="s">
        <v>372</v>
      </c>
      <c r="B158" t="s">
        <v>47</v>
      </c>
      <c r="C158" t="s">
        <v>373</v>
      </c>
      <c r="D158">
        <v>95</v>
      </c>
      <c r="E158" t="s">
        <v>20</v>
      </c>
    </row>
    <row r="159" spans="1:5" x14ac:dyDescent="0.35">
      <c r="A159" t="s">
        <v>374</v>
      </c>
      <c r="B159" t="s">
        <v>375</v>
      </c>
      <c r="C159" t="s">
        <v>376</v>
      </c>
      <c r="D159">
        <v>100</v>
      </c>
      <c r="E159" t="s">
        <v>20</v>
      </c>
    </row>
    <row r="160" spans="1:5" x14ac:dyDescent="0.35">
      <c r="A160" t="s">
        <v>377</v>
      </c>
      <c r="B160" t="s">
        <v>29</v>
      </c>
      <c r="C160" t="s">
        <v>378</v>
      </c>
      <c r="D160">
        <v>90</v>
      </c>
      <c r="E160" t="s">
        <v>20</v>
      </c>
    </row>
    <row r="161" spans="1:5" x14ac:dyDescent="0.35">
      <c r="A161" t="s">
        <v>379</v>
      </c>
      <c r="B161" t="s">
        <v>10</v>
      </c>
      <c r="C161" t="s">
        <v>380</v>
      </c>
      <c r="D161">
        <v>112</v>
      </c>
      <c r="E161" t="s">
        <v>20</v>
      </c>
    </row>
    <row r="162" spans="1:5" x14ac:dyDescent="0.35">
      <c r="A162" t="s">
        <v>381</v>
      </c>
      <c r="B162" t="s">
        <v>29</v>
      </c>
      <c r="C162" t="s">
        <v>382</v>
      </c>
      <c r="D162">
        <v>86</v>
      </c>
      <c r="E162" t="s">
        <v>20</v>
      </c>
    </row>
    <row r="163" spans="1:5" x14ac:dyDescent="0.35">
      <c r="A163" s="1">
        <v>44788</v>
      </c>
      <c r="B163" t="s">
        <v>215</v>
      </c>
      <c r="C163" t="s">
        <v>383</v>
      </c>
      <c r="D163">
        <v>124</v>
      </c>
      <c r="E163" t="s">
        <v>190</v>
      </c>
    </row>
    <row r="164" spans="1:5" x14ac:dyDescent="0.35">
      <c r="A164" t="s">
        <v>384</v>
      </c>
      <c r="B164" t="s">
        <v>47</v>
      </c>
      <c r="C164" t="s">
        <v>385</v>
      </c>
      <c r="D164">
        <v>107</v>
      </c>
      <c r="E164" t="s">
        <v>20</v>
      </c>
    </row>
    <row r="165" spans="1:5" x14ac:dyDescent="0.35">
      <c r="A165" t="s">
        <v>386</v>
      </c>
      <c r="B165" t="s">
        <v>47</v>
      </c>
      <c r="C165" t="s">
        <v>387</v>
      </c>
      <c r="D165">
        <v>92</v>
      </c>
      <c r="E165" t="s">
        <v>20</v>
      </c>
    </row>
    <row r="166" spans="1:5" x14ac:dyDescent="0.35">
      <c r="A166" t="s">
        <v>388</v>
      </c>
      <c r="B166" t="s">
        <v>43</v>
      </c>
      <c r="C166" t="s">
        <v>130</v>
      </c>
      <c r="D166">
        <v>121</v>
      </c>
      <c r="E166" t="s">
        <v>20</v>
      </c>
    </row>
    <row r="167" spans="1:5" x14ac:dyDescent="0.35">
      <c r="A167" t="s">
        <v>389</v>
      </c>
      <c r="B167" t="s">
        <v>43</v>
      </c>
      <c r="C167" t="s">
        <v>27</v>
      </c>
      <c r="D167">
        <v>90</v>
      </c>
      <c r="E167" t="s">
        <v>20</v>
      </c>
    </row>
    <row r="168" spans="1:5" x14ac:dyDescent="0.35">
      <c r="A168" t="s">
        <v>390</v>
      </c>
      <c r="B168" t="s">
        <v>391</v>
      </c>
      <c r="C168" t="s">
        <v>392</v>
      </c>
      <c r="D168">
        <v>104</v>
      </c>
      <c r="E168" t="s">
        <v>20</v>
      </c>
    </row>
    <row r="169" spans="1:5" x14ac:dyDescent="0.35">
      <c r="A169" t="s">
        <v>393</v>
      </c>
      <c r="B169" t="s">
        <v>29</v>
      </c>
      <c r="C169" t="s">
        <v>218</v>
      </c>
      <c r="D169">
        <v>92</v>
      </c>
      <c r="E169" t="s">
        <v>20</v>
      </c>
    </row>
    <row r="170" spans="1:5" x14ac:dyDescent="0.35">
      <c r="A170" t="s">
        <v>394</v>
      </c>
      <c r="B170" t="s">
        <v>43</v>
      </c>
      <c r="C170" t="s">
        <v>34</v>
      </c>
      <c r="D170">
        <v>114</v>
      </c>
      <c r="E170" t="s">
        <v>24</v>
      </c>
    </row>
    <row r="171" spans="1:5" x14ac:dyDescent="0.35">
      <c r="A171" t="s">
        <v>395</v>
      </c>
      <c r="B171" t="s">
        <v>43</v>
      </c>
      <c r="C171" t="s">
        <v>11</v>
      </c>
      <c r="D171">
        <v>98</v>
      </c>
      <c r="E171" t="s">
        <v>24</v>
      </c>
    </row>
    <row r="172" spans="1:5" x14ac:dyDescent="0.35">
      <c r="A172" t="s">
        <v>396</v>
      </c>
      <c r="B172" t="s">
        <v>397</v>
      </c>
      <c r="C172" t="s">
        <v>398</v>
      </c>
      <c r="D172">
        <v>95</v>
      </c>
      <c r="E172" t="s">
        <v>20</v>
      </c>
    </row>
    <row r="173" spans="1:5" x14ac:dyDescent="0.35">
      <c r="A173" t="s">
        <v>399</v>
      </c>
      <c r="B173" t="s">
        <v>47</v>
      </c>
      <c r="C173" t="s">
        <v>400</v>
      </c>
      <c r="D173">
        <v>78</v>
      </c>
      <c r="E173" t="s">
        <v>20</v>
      </c>
    </row>
    <row r="174" spans="1:5" x14ac:dyDescent="0.35">
      <c r="A174" t="s">
        <v>401</v>
      </c>
      <c r="B174" t="s">
        <v>10</v>
      </c>
      <c r="C174" t="s">
        <v>376</v>
      </c>
      <c r="D174">
        <v>107</v>
      </c>
      <c r="E174" t="s">
        <v>20</v>
      </c>
    </row>
    <row r="175" spans="1:5" x14ac:dyDescent="0.35">
      <c r="A175" t="s">
        <v>402</v>
      </c>
      <c r="B175" t="s">
        <v>47</v>
      </c>
      <c r="C175" t="s">
        <v>403</v>
      </c>
      <c r="D175">
        <v>92</v>
      </c>
      <c r="E175" t="s">
        <v>20</v>
      </c>
    </row>
    <row r="176" spans="1:5" x14ac:dyDescent="0.35">
      <c r="A176" t="s">
        <v>404</v>
      </c>
      <c r="B176" t="s">
        <v>405</v>
      </c>
      <c r="C176" t="s">
        <v>406</v>
      </c>
      <c r="D176">
        <v>95</v>
      </c>
      <c r="E176" t="s">
        <v>20</v>
      </c>
    </row>
    <row r="177" spans="1:5" x14ac:dyDescent="0.35">
      <c r="A177" t="s">
        <v>407</v>
      </c>
      <c r="B177" t="s">
        <v>47</v>
      </c>
      <c r="C177" t="s">
        <v>408</v>
      </c>
      <c r="D177">
        <v>96</v>
      </c>
      <c r="E177" t="s">
        <v>20</v>
      </c>
    </row>
    <row r="178" spans="1:5" x14ac:dyDescent="0.35">
      <c r="A178" t="s">
        <v>409</v>
      </c>
      <c r="B178" t="s">
        <v>215</v>
      </c>
      <c r="C178" t="s">
        <v>220</v>
      </c>
      <c r="D178">
        <v>118</v>
      </c>
      <c r="E178" t="s">
        <v>24</v>
      </c>
    </row>
    <row r="179" spans="1:5" x14ac:dyDescent="0.35">
      <c r="A179" t="s">
        <v>410</v>
      </c>
      <c r="B179" t="s">
        <v>47</v>
      </c>
      <c r="C179" t="s">
        <v>224</v>
      </c>
      <c r="D179">
        <v>105</v>
      </c>
      <c r="E179" t="s">
        <v>102</v>
      </c>
    </row>
    <row r="180" spans="1:5" x14ac:dyDescent="0.35">
      <c r="A180" t="s">
        <v>411</v>
      </c>
      <c r="B180" t="s">
        <v>412</v>
      </c>
      <c r="C180" t="s">
        <v>142</v>
      </c>
      <c r="D180">
        <v>94</v>
      </c>
      <c r="E180" t="s">
        <v>125</v>
      </c>
    </row>
    <row r="181" spans="1:5" x14ac:dyDescent="0.35">
      <c r="A181" t="s">
        <v>413</v>
      </c>
      <c r="B181" t="s">
        <v>414</v>
      </c>
      <c r="C181" t="s">
        <v>415</v>
      </c>
      <c r="D181">
        <v>52</v>
      </c>
      <c r="E181" t="s">
        <v>20</v>
      </c>
    </row>
    <row r="182" spans="1:5" x14ac:dyDescent="0.35">
      <c r="A182" t="s">
        <v>416</v>
      </c>
      <c r="B182" t="s">
        <v>417</v>
      </c>
      <c r="C182" t="s">
        <v>230</v>
      </c>
      <c r="D182">
        <v>105</v>
      </c>
      <c r="E182" t="s">
        <v>20</v>
      </c>
    </row>
    <row r="183" spans="1:5" x14ac:dyDescent="0.35">
      <c r="A183" t="s">
        <v>418</v>
      </c>
      <c r="B183" t="s">
        <v>350</v>
      </c>
      <c r="C183" t="s">
        <v>415</v>
      </c>
      <c r="D183">
        <v>95</v>
      </c>
      <c r="E183" t="s">
        <v>20</v>
      </c>
    </row>
    <row r="184" spans="1:5" x14ac:dyDescent="0.35">
      <c r="A184" t="s">
        <v>419</v>
      </c>
      <c r="B184" t="s">
        <v>412</v>
      </c>
      <c r="C184" t="s">
        <v>420</v>
      </c>
      <c r="D184">
        <v>100</v>
      </c>
      <c r="E184" t="s">
        <v>20</v>
      </c>
    </row>
    <row r="185" spans="1:5" x14ac:dyDescent="0.35">
      <c r="A185" t="s">
        <v>421</v>
      </c>
      <c r="B185" t="s">
        <v>397</v>
      </c>
      <c r="C185" t="s">
        <v>422</v>
      </c>
      <c r="D185">
        <v>97</v>
      </c>
      <c r="E185" t="s">
        <v>20</v>
      </c>
    </row>
    <row r="186" spans="1:5" x14ac:dyDescent="0.35">
      <c r="A186" t="s">
        <v>423</v>
      </c>
      <c r="B186" t="s">
        <v>29</v>
      </c>
      <c r="C186" t="s">
        <v>424</v>
      </c>
      <c r="D186">
        <v>89</v>
      </c>
      <c r="E186" t="s">
        <v>20</v>
      </c>
    </row>
    <row r="187" spans="1:5" x14ac:dyDescent="0.35">
      <c r="A187" t="s">
        <v>425</v>
      </c>
      <c r="B187" t="s">
        <v>426</v>
      </c>
      <c r="C187" t="s">
        <v>427</v>
      </c>
      <c r="D187">
        <v>102</v>
      </c>
      <c r="E187" t="s">
        <v>20</v>
      </c>
    </row>
    <row r="188" spans="1:5" x14ac:dyDescent="0.35">
      <c r="A188" t="s">
        <v>428</v>
      </c>
      <c r="B188" t="s">
        <v>429</v>
      </c>
      <c r="C188" t="s">
        <v>430</v>
      </c>
      <c r="D188">
        <v>96</v>
      </c>
      <c r="E188" t="s">
        <v>83</v>
      </c>
    </row>
    <row r="189" spans="1:5" x14ac:dyDescent="0.35">
      <c r="A189" t="s">
        <v>431</v>
      </c>
      <c r="B189" t="s">
        <v>47</v>
      </c>
      <c r="C189" t="s">
        <v>432</v>
      </c>
      <c r="D189">
        <v>131</v>
      </c>
      <c r="E189" t="s">
        <v>20</v>
      </c>
    </row>
    <row r="190" spans="1:5" x14ac:dyDescent="0.35">
      <c r="A190" t="s">
        <v>433</v>
      </c>
      <c r="B190" t="s">
        <v>47</v>
      </c>
      <c r="C190" t="s">
        <v>236</v>
      </c>
      <c r="D190">
        <v>89</v>
      </c>
      <c r="E190" t="s">
        <v>20</v>
      </c>
    </row>
    <row r="191" spans="1:5" x14ac:dyDescent="0.35">
      <c r="A191" t="s">
        <v>434</v>
      </c>
      <c r="B191" t="s">
        <v>43</v>
      </c>
      <c r="C191" t="s">
        <v>435</v>
      </c>
      <c r="D191">
        <v>93</v>
      </c>
      <c r="E191" t="s">
        <v>125</v>
      </c>
    </row>
    <row r="192" spans="1:5" x14ac:dyDescent="0.35">
      <c r="A192" t="s">
        <v>436</v>
      </c>
      <c r="B192" t="s">
        <v>47</v>
      </c>
      <c r="C192" t="s">
        <v>120</v>
      </c>
      <c r="D192">
        <v>111</v>
      </c>
      <c r="E192" t="s">
        <v>12</v>
      </c>
    </row>
    <row r="193" spans="1:5" x14ac:dyDescent="0.35">
      <c r="A193" t="s">
        <v>437</v>
      </c>
      <c r="B193" t="s">
        <v>43</v>
      </c>
      <c r="C193" t="s">
        <v>438</v>
      </c>
      <c r="D193">
        <v>75</v>
      </c>
      <c r="E193" t="s">
        <v>20</v>
      </c>
    </row>
    <row r="194" spans="1:5" x14ac:dyDescent="0.35">
      <c r="A194" t="s">
        <v>439</v>
      </c>
      <c r="B194" t="s">
        <v>10</v>
      </c>
      <c r="C194" t="s">
        <v>440</v>
      </c>
      <c r="D194">
        <v>120</v>
      </c>
      <c r="E194" t="s">
        <v>20</v>
      </c>
    </row>
    <row r="195" spans="1:5" x14ac:dyDescent="0.35">
      <c r="A195" t="s">
        <v>441</v>
      </c>
      <c r="B195" t="s">
        <v>442</v>
      </c>
      <c r="C195" t="s">
        <v>438</v>
      </c>
      <c r="D195">
        <v>96</v>
      </c>
      <c r="E195" t="s">
        <v>20</v>
      </c>
    </row>
    <row r="196" spans="1:5" x14ac:dyDescent="0.35">
      <c r="A196" t="s">
        <v>443</v>
      </c>
      <c r="B196" t="s">
        <v>444</v>
      </c>
      <c r="C196" t="s">
        <v>445</v>
      </c>
      <c r="D196">
        <v>148</v>
      </c>
      <c r="E196" t="s">
        <v>20</v>
      </c>
    </row>
    <row r="197" spans="1:5" x14ac:dyDescent="0.35">
      <c r="A197" t="s">
        <v>446</v>
      </c>
      <c r="B197" t="s">
        <v>447</v>
      </c>
      <c r="C197" t="s">
        <v>448</v>
      </c>
      <c r="D197">
        <v>94</v>
      </c>
      <c r="E197" t="s">
        <v>20</v>
      </c>
    </row>
    <row r="198" spans="1:5" x14ac:dyDescent="0.35">
      <c r="A198" t="s">
        <v>449</v>
      </c>
      <c r="B198" t="s">
        <v>22</v>
      </c>
      <c r="C198" t="s">
        <v>279</v>
      </c>
      <c r="D198">
        <v>107</v>
      </c>
      <c r="E198" t="s">
        <v>20</v>
      </c>
    </row>
    <row r="199" spans="1:5" x14ac:dyDescent="0.35">
      <c r="A199" t="s">
        <v>450</v>
      </c>
      <c r="B199" t="s">
        <v>405</v>
      </c>
      <c r="C199" t="s">
        <v>451</v>
      </c>
      <c r="D199">
        <v>32</v>
      </c>
      <c r="E199" t="s">
        <v>20</v>
      </c>
    </row>
    <row r="200" spans="1:5" x14ac:dyDescent="0.35">
      <c r="A200" t="s">
        <v>452</v>
      </c>
      <c r="B200" t="s">
        <v>43</v>
      </c>
      <c r="C200" t="s">
        <v>453</v>
      </c>
      <c r="D200">
        <v>104</v>
      </c>
      <c r="E200" t="s">
        <v>20</v>
      </c>
    </row>
    <row r="201" spans="1:5" x14ac:dyDescent="0.35">
      <c r="A201" t="s">
        <v>454</v>
      </c>
      <c r="B201" t="s">
        <v>6</v>
      </c>
      <c r="C201" t="s">
        <v>318</v>
      </c>
      <c r="D201">
        <v>23</v>
      </c>
      <c r="E201" t="s">
        <v>20</v>
      </c>
    </row>
    <row r="202" spans="1:5" x14ac:dyDescent="0.35">
      <c r="A202" t="s">
        <v>455</v>
      </c>
      <c r="B202" t="s">
        <v>47</v>
      </c>
      <c r="C202" t="s">
        <v>456</v>
      </c>
      <c r="D202">
        <v>111</v>
      </c>
      <c r="E202" t="s">
        <v>24</v>
      </c>
    </row>
    <row r="203" spans="1:5" x14ac:dyDescent="0.35">
      <c r="A203" t="s">
        <v>457</v>
      </c>
      <c r="B203" t="s">
        <v>10</v>
      </c>
      <c r="C203" t="s">
        <v>456</v>
      </c>
      <c r="D203">
        <v>83</v>
      </c>
      <c r="E203" t="s">
        <v>88</v>
      </c>
    </row>
    <row r="204" spans="1:5" x14ac:dyDescent="0.35">
      <c r="A204" t="s">
        <v>458</v>
      </c>
      <c r="B204" t="s">
        <v>6</v>
      </c>
      <c r="C204" t="s">
        <v>65</v>
      </c>
      <c r="D204">
        <v>53</v>
      </c>
      <c r="E204" t="s">
        <v>20</v>
      </c>
    </row>
    <row r="205" spans="1:5" x14ac:dyDescent="0.35">
      <c r="A205" t="s">
        <v>459</v>
      </c>
      <c r="B205" t="s">
        <v>215</v>
      </c>
      <c r="C205" t="s">
        <v>460</v>
      </c>
      <c r="D205">
        <v>95</v>
      </c>
      <c r="E205" t="s">
        <v>20</v>
      </c>
    </row>
    <row r="206" spans="1:5" x14ac:dyDescent="0.35">
      <c r="A206" t="s">
        <v>461</v>
      </c>
      <c r="B206" t="s">
        <v>270</v>
      </c>
      <c r="C206" t="s">
        <v>462</v>
      </c>
      <c r="D206">
        <v>132</v>
      </c>
      <c r="E206" t="s">
        <v>20</v>
      </c>
    </row>
    <row r="207" spans="1:5" x14ac:dyDescent="0.35">
      <c r="A207" t="s">
        <v>463</v>
      </c>
      <c r="B207" t="s">
        <v>51</v>
      </c>
      <c r="C207" t="s">
        <v>464</v>
      </c>
      <c r="D207">
        <v>98</v>
      </c>
      <c r="E207" t="s">
        <v>20</v>
      </c>
    </row>
    <row r="208" spans="1:5" x14ac:dyDescent="0.35">
      <c r="A208" t="s">
        <v>465</v>
      </c>
      <c r="B208" t="s">
        <v>466</v>
      </c>
      <c r="C208" t="s">
        <v>467</v>
      </c>
      <c r="D208">
        <v>108</v>
      </c>
      <c r="E208" t="s">
        <v>16</v>
      </c>
    </row>
    <row r="209" spans="1:5" x14ac:dyDescent="0.35">
      <c r="A209" t="s">
        <v>468</v>
      </c>
      <c r="B209" t="s">
        <v>391</v>
      </c>
      <c r="C209" t="s">
        <v>469</v>
      </c>
      <c r="D209">
        <v>106</v>
      </c>
      <c r="E209" t="s">
        <v>20</v>
      </c>
    </row>
    <row r="210" spans="1:5" x14ac:dyDescent="0.35">
      <c r="A210" t="s">
        <v>470</v>
      </c>
      <c r="B210" t="s">
        <v>43</v>
      </c>
      <c r="C210" t="s">
        <v>471</v>
      </c>
      <c r="D210">
        <v>104</v>
      </c>
      <c r="E210" t="s">
        <v>16</v>
      </c>
    </row>
    <row r="211" spans="1:5" x14ac:dyDescent="0.35">
      <c r="A211" t="s">
        <v>472</v>
      </c>
      <c r="B211" t="s">
        <v>397</v>
      </c>
      <c r="C211" t="s">
        <v>473</v>
      </c>
      <c r="D211">
        <v>90</v>
      </c>
      <c r="E211" t="s">
        <v>20</v>
      </c>
    </row>
    <row r="212" spans="1:5" x14ac:dyDescent="0.35">
      <c r="A212" t="s">
        <v>474</v>
      </c>
      <c r="B212" t="s">
        <v>43</v>
      </c>
      <c r="C212" t="s">
        <v>475</v>
      </c>
      <c r="D212">
        <v>106</v>
      </c>
      <c r="E212" t="s">
        <v>24</v>
      </c>
    </row>
    <row r="213" spans="1:5" x14ac:dyDescent="0.35">
      <c r="A213" t="s">
        <v>476</v>
      </c>
      <c r="B213" t="s">
        <v>43</v>
      </c>
      <c r="C213" t="s">
        <v>477</v>
      </c>
      <c r="D213">
        <v>90</v>
      </c>
      <c r="E213" t="s">
        <v>20</v>
      </c>
    </row>
    <row r="214" spans="1:5" x14ac:dyDescent="0.35">
      <c r="A214" t="s">
        <v>478</v>
      </c>
      <c r="B214" t="s">
        <v>479</v>
      </c>
      <c r="C214" t="s">
        <v>480</v>
      </c>
      <c r="D214">
        <v>97</v>
      </c>
      <c r="E214" t="s">
        <v>20</v>
      </c>
    </row>
    <row r="215" spans="1:5" x14ac:dyDescent="0.35">
      <c r="A215" t="s">
        <v>481</v>
      </c>
      <c r="B215" t="s">
        <v>122</v>
      </c>
      <c r="C215" t="s">
        <v>145</v>
      </c>
      <c r="D215">
        <v>113</v>
      </c>
      <c r="E215" t="s">
        <v>20</v>
      </c>
    </row>
    <row r="216" spans="1:5" x14ac:dyDescent="0.35">
      <c r="A216" t="s">
        <v>482</v>
      </c>
      <c r="B216" t="s">
        <v>483</v>
      </c>
      <c r="C216" t="s">
        <v>484</v>
      </c>
      <c r="D216">
        <v>123</v>
      </c>
      <c r="E216" t="s">
        <v>20</v>
      </c>
    </row>
    <row r="217" spans="1:5" x14ac:dyDescent="0.35">
      <c r="A217" t="s">
        <v>485</v>
      </c>
      <c r="B217" t="s">
        <v>486</v>
      </c>
      <c r="C217" t="s">
        <v>487</v>
      </c>
      <c r="D217">
        <v>115</v>
      </c>
      <c r="E217" t="s">
        <v>20</v>
      </c>
    </row>
    <row r="218" spans="1:5" x14ac:dyDescent="0.35">
      <c r="A218" t="s">
        <v>488</v>
      </c>
      <c r="B218" t="s">
        <v>47</v>
      </c>
      <c r="C218" t="s">
        <v>489</v>
      </c>
      <c r="D218">
        <v>105</v>
      </c>
      <c r="E218" t="s">
        <v>20</v>
      </c>
    </row>
    <row r="219" spans="1:5" x14ac:dyDescent="0.35">
      <c r="A219" t="s">
        <v>490</v>
      </c>
      <c r="B219" t="s">
        <v>47</v>
      </c>
      <c r="C219" t="s">
        <v>448</v>
      </c>
      <c r="D219">
        <v>101</v>
      </c>
      <c r="E219" t="s">
        <v>20</v>
      </c>
    </row>
    <row r="220" spans="1:5" x14ac:dyDescent="0.35">
      <c r="A220" t="s">
        <v>491</v>
      </c>
      <c r="B220" t="s">
        <v>47</v>
      </c>
      <c r="C220" t="s">
        <v>492</v>
      </c>
      <c r="D220">
        <v>102</v>
      </c>
      <c r="E220" t="s">
        <v>20</v>
      </c>
    </row>
    <row r="221" spans="1:5" x14ac:dyDescent="0.35">
      <c r="A221" t="s">
        <v>493</v>
      </c>
      <c r="B221" t="s">
        <v>494</v>
      </c>
      <c r="C221" t="s">
        <v>495</v>
      </c>
      <c r="D221">
        <v>122</v>
      </c>
      <c r="E221" t="s">
        <v>20</v>
      </c>
    </row>
    <row r="222" spans="1:5" x14ac:dyDescent="0.35">
      <c r="A222" t="s">
        <v>496</v>
      </c>
      <c r="B222" t="s">
        <v>26</v>
      </c>
      <c r="C222" t="s">
        <v>497</v>
      </c>
      <c r="D222">
        <v>128</v>
      </c>
      <c r="E222" t="s">
        <v>20</v>
      </c>
    </row>
    <row r="223" spans="1:5" x14ac:dyDescent="0.35">
      <c r="A223" t="s">
        <v>498</v>
      </c>
      <c r="B223" t="s">
        <v>29</v>
      </c>
      <c r="C223" t="s">
        <v>499</v>
      </c>
      <c r="D223">
        <v>82</v>
      </c>
      <c r="E223" t="s">
        <v>20</v>
      </c>
    </row>
    <row r="224" spans="1:5" x14ac:dyDescent="0.35">
      <c r="A224" t="s">
        <v>500</v>
      </c>
      <c r="B224" t="s">
        <v>43</v>
      </c>
      <c r="C224" t="s">
        <v>501</v>
      </c>
      <c r="D224">
        <v>102</v>
      </c>
      <c r="E224" t="s">
        <v>20</v>
      </c>
    </row>
    <row r="225" spans="1:5" x14ac:dyDescent="0.35">
      <c r="A225" t="s">
        <v>502</v>
      </c>
      <c r="B225" t="s">
        <v>6</v>
      </c>
      <c r="C225" t="s">
        <v>415</v>
      </c>
      <c r="D225">
        <v>80</v>
      </c>
      <c r="E225" t="s">
        <v>20</v>
      </c>
    </row>
    <row r="226" spans="1:5" x14ac:dyDescent="0.35">
      <c r="A226" t="s">
        <v>503</v>
      </c>
      <c r="B226" t="s">
        <v>43</v>
      </c>
      <c r="C226" t="s">
        <v>504</v>
      </c>
      <c r="D226">
        <v>94</v>
      </c>
      <c r="E226" t="s">
        <v>20</v>
      </c>
    </row>
    <row r="227" spans="1:5" x14ac:dyDescent="0.35">
      <c r="A227" t="s">
        <v>505</v>
      </c>
      <c r="B227" t="s">
        <v>347</v>
      </c>
      <c r="C227" t="s">
        <v>506</v>
      </c>
      <c r="D227">
        <v>123</v>
      </c>
      <c r="E227" t="s">
        <v>20</v>
      </c>
    </row>
    <row r="228" spans="1:5" x14ac:dyDescent="0.35">
      <c r="A228" t="s">
        <v>507</v>
      </c>
      <c r="B228" t="s">
        <v>508</v>
      </c>
      <c r="C228" t="s">
        <v>132</v>
      </c>
      <c r="D228">
        <v>104</v>
      </c>
      <c r="E228" t="s">
        <v>20</v>
      </c>
    </row>
    <row r="229" spans="1:5" x14ac:dyDescent="0.35">
      <c r="A229" t="s">
        <v>509</v>
      </c>
      <c r="B229" t="s">
        <v>510</v>
      </c>
      <c r="C229" t="s">
        <v>27</v>
      </c>
      <c r="D229">
        <v>85</v>
      </c>
      <c r="E229" t="s">
        <v>20</v>
      </c>
    </row>
    <row r="230" spans="1:5" x14ac:dyDescent="0.35">
      <c r="A230" t="s">
        <v>511</v>
      </c>
      <c r="B230" t="s">
        <v>6</v>
      </c>
      <c r="C230" t="s">
        <v>512</v>
      </c>
      <c r="D230">
        <v>84</v>
      </c>
      <c r="E230" t="s">
        <v>20</v>
      </c>
    </row>
    <row r="231" spans="1:5" x14ac:dyDescent="0.35">
      <c r="A231" t="s">
        <v>513</v>
      </c>
      <c r="B231" t="s">
        <v>29</v>
      </c>
      <c r="C231" t="s">
        <v>514</v>
      </c>
      <c r="D231">
        <v>103</v>
      </c>
      <c r="E231" t="s">
        <v>20</v>
      </c>
    </row>
    <row r="232" spans="1:5" x14ac:dyDescent="0.35">
      <c r="A232" t="s">
        <v>515</v>
      </c>
      <c r="B232" t="s">
        <v>287</v>
      </c>
      <c r="C232" t="s">
        <v>516</v>
      </c>
      <c r="D232">
        <v>95</v>
      </c>
      <c r="E232" t="s">
        <v>20</v>
      </c>
    </row>
    <row r="233" spans="1:5" x14ac:dyDescent="0.35">
      <c r="A233" t="s">
        <v>517</v>
      </c>
      <c r="B233" t="s">
        <v>29</v>
      </c>
      <c r="C233" t="s">
        <v>518</v>
      </c>
      <c r="D233">
        <v>100</v>
      </c>
      <c r="E233" t="s">
        <v>20</v>
      </c>
    </row>
    <row r="234" spans="1:5" x14ac:dyDescent="0.35">
      <c r="A234" t="s">
        <v>519</v>
      </c>
      <c r="B234" t="s">
        <v>520</v>
      </c>
      <c r="C234" t="s">
        <v>521</v>
      </c>
      <c r="D234">
        <v>89</v>
      </c>
      <c r="E234" t="s">
        <v>20</v>
      </c>
    </row>
    <row r="235" spans="1:5" x14ac:dyDescent="0.35">
      <c r="A235" t="s">
        <v>522</v>
      </c>
      <c r="B235" t="s">
        <v>287</v>
      </c>
      <c r="C235" t="s">
        <v>23</v>
      </c>
      <c r="D235">
        <v>116</v>
      </c>
      <c r="E235" t="s">
        <v>88</v>
      </c>
    </row>
    <row r="236" spans="1:5" x14ac:dyDescent="0.35">
      <c r="A236" t="s">
        <v>523</v>
      </c>
      <c r="B236" t="s">
        <v>391</v>
      </c>
      <c r="C236" t="s">
        <v>142</v>
      </c>
      <c r="D236">
        <v>118</v>
      </c>
      <c r="E236" t="s">
        <v>20</v>
      </c>
    </row>
    <row r="237" spans="1:5" x14ac:dyDescent="0.35">
      <c r="A237" t="s">
        <v>524</v>
      </c>
      <c r="B237" t="s">
        <v>43</v>
      </c>
      <c r="C237" t="s">
        <v>525</v>
      </c>
      <c r="D237">
        <v>96</v>
      </c>
      <c r="E237" t="s">
        <v>31</v>
      </c>
    </row>
    <row r="238" spans="1:5" x14ac:dyDescent="0.35">
      <c r="A238" t="s">
        <v>526</v>
      </c>
      <c r="B238" t="s">
        <v>43</v>
      </c>
      <c r="C238" t="s">
        <v>527</v>
      </c>
      <c r="D238">
        <v>114</v>
      </c>
      <c r="E238" t="s">
        <v>49</v>
      </c>
    </row>
    <row r="239" spans="1:5" x14ac:dyDescent="0.35">
      <c r="A239" t="s">
        <v>528</v>
      </c>
      <c r="B239" t="s">
        <v>139</v>
      </c>
      <c r="C239" t="s">
        <v>529</v>
      </c>
      <c r="D239">
        <v>99</v>
      </c>
      <c r="E239" t="s">
        <v>102</v>
      </c>
    </row>
    <row r="240" spans="1:5" x14ac:dyDescent="0.35">
      <c r="A240" t="s">
        <v>530</v>
      </c>
      <c r="B240" t="s">
        <v>47</v>
      </c>
      <c r="C240" t="s">
        <v>531</v>
      </c>
      <c r="D240">
        <v>87</v>
      </c>
      <c r="E240" t="s">
        <v>20</v>
      </c>
    </row>
    <row r="241" spans="1:5" x14ac:dyDescent="0.35">
      <c r="A241" t="s">
        <v>532</v>
      </c>
      <c r="B241" t="s">
        <v>391</v>
      </c>
      <c r="C241" t="s">
        <v>533</v>
      </c>
      <c r="D241">
        <v>92</v>
      </c>
      <c r="E241" t="s">
        <v>20</v>
      </c>
    </row>
    <row r="242" spans="1:5" x14ac:dyDescent="0.35">
      <c r="A242" t="s">
        <v>534</v>
      </c>
      <c r="B242" t="s">
        <v>535</v>
      </c>
      <c r="C242" t="s">
        <v>92</v>
      </c>
      <c r="D242">
        <v>90</v>
      </c>
      <c r="E242" t="s">
        <v>20</v>
      </c>
    </row>
    <row r="243" spans="1:5" x14ac:dyDescent="0.35">
      <c r="A243" t="s">
        <v>536</v>
      </c>
      <c r="B243" t="s">
        <v>43</v>
      </c>
      <c r="C243" t="s">
        <v>260</v>
      </c>
      <c r="D243">
        <v>95</v>
      </c>
      <c r="E243" t="s">
        <v>24</v>
      </c>
    </row>
    <row r="244" spans="1:5" x14ac:dyDescent="0.35">
      <c r="A244" t="s">
        <v>537</v>
      </c>
      <c r="B244" t="s">
        <v>10</v>
      </c>
      <c r="C244" t="s">
        <v>538</v>
      </c>
      <c r="D244">
        <v>96</v>
      </c>
      <c r="E244" t="s">
        <v>12</v>
      </c>
    </row>
    <row r="245" spans="1:5" x14ac:dyDescent="0.35">
      <c r="A245" t="s">
        <v>539</v>
      </c>
      <c r="B245" t="s">
        <v>540</v>
      </c>
      <c r="C245" t="s">
        <v>541</v>
      </c>
      <c r="D245">
        <v>93</v>
      </c>
      <c r="E245" t="s">
        <v>20</v>
      </c>
    </row>
    <row r="246" spans="1:5" x14ac:dyDescent="0.35">
      <c r="A246" t="s">
        <v>542</v>
      </c>
      <c r="B246" t="s">
        <v>543</v>
      </c>
      <c r="C246" t="s">
        <v>544</v>
      </c>
      <c r="D246">
        <v>42</v>
      </c>
      <c r="E246" t="s">
        <v>20</v>
      </c>
    </row>
    <row r="247" spans="1:5" x14ac:dyDescent="0.35">
      <c r="A247" t="s">
        <v>545</v>
      </c>
      <c r="B247" t="s">
        <v>391</v>
      </c>
      <c r="C247" t="s">
        <v>192</v>
      </c>
      <c r="D247">
        <v>92</v>
      </c>
      <c r="E247" t="s">
        <v>16</v>
      </c>
    </row>
    <row r="248" spans="1:5" x14ac:dyDescent="0.35">
      <c r="A248" t="s">
        <v>546</v>
      </c>
      <c r="B248" t="s">
        <v>43</v>
      </c>
      <c r="C248" t="s">
        <v>506</v>
      </c>
      <c r="D248">
        <v>106</v>
      </c>
      <c r="E248" t="s">
        <v>12</v>
      </c>
    </row>
    <row r="249" spans="1:5" x14ac:dyDescent="0.35">
      <c r="A249" t="s">
        <v>547</v>
      </c>
      <c r="B249" t="s">
        <v>43</v>
      </c>
      <c r="C249" t="s">
        <v>548</v>
      </c>
      <c r="D249">
        <v>151</v>
      </c>
      <c r="E249" t="s">
        <v>20</v>
      </c>
    </row>
    <row r="250" spans="1:5" x14ac:dyDescent="0.35">
      <c r="A250" t="s">
        <v>549</v>
      </c>
      <c r="B250" t="s">
        <v>215</v>
      </c>
      <c r="C250" t="s">
        <v>550</v>
      </c>
      <c r="D250">
        <v>101</v>
      </c>
      <c r="E250" t="s">
        <v>49</v>
      </c>
    </row>
    <row r="251" spans="1:5" x14ac:dyDescent="0.35">
      <c r="A251" t="s">
        <v>551</v>
      </c>
      <c r="B251" t="s">
        <v>29</v>
      </c>
      <c r="C251" t="s">
        <v>78</v>
      </c>
      <c r="D251">
        <v>114</v>
      </c>
      <c r="E251" t="s">
        <v>31</v>
      </c>
    </row>
    <row r="252" spans="1:5" x14ac:dyDescent="0.35">
      <c r="A252" t="s">
        <v>552</v>
      </c>
      <c r="B252" t="s">
        <v>442</v>
      </c>
      <c r="C252" t="s">
        <v>281</v>
      </c>
      <c r="D252">
        <v>90</v>
      </c>
      <c r="E252" t="s">
        <v>20</v>
      </c>
    </row>
    <row r="253" spans="1:5" x14ac:dyDescent="0.35">
      <c r="A253" t="s">
        <v>553</v>
      </c>
      <c r="B253" t="s">
        <v>10</v>
      </c>
      <c r="C253" t="s">
        <v>554</v>
      </c>
      <c r="D253">
        <v>115</v>
      </c>
      <c r="E253" t="s">
        <v>20</v>
      </c>
    </row>
    <row r="254" spans="1:5" x14ac:dyDescent="0.35">
      <c r="A254" t="s">
        <v>555</v>
      </c>
      <c r="B254" t="s">
        <v>10</v>
      </c>
      <c r="C254" t="s">
        <v>323</v>
      </c>
      <c r="D254">
        <v>92</v>
      </c>
      <c r="E254" t="s">
        <v>88</v>
      </c>
    </row>
    <row r="255" spans="1:5" x14ac:dyDescent="0.35">
      <c r="A255" t="s">
        <v>556</v>
      </c>
      <c r="B255" t="s">
        <v>175</v>
      </c>
      <c r="C255" t="s">
        <v>145</v>
      </c>
      <c r="D255">
        <v>72</v>
      </c>
      <c r="E255" t="s">
        <v>20</v>
      </c>
    </row>
    <row r="256" spans="1:5" x14ac:dyDescent="0.35">
      <c r="A256" t="s">
        <v>557</v>
      </c>
      <c r="B256" t="s">
        <v>10</v>
      </c>
      <c r="C256" t="s">
        <v>432</v>
      </c>
      <c r="D256">
        <v>139</v>
      </c>
      <c r="E256" t="s">
        <v>12</v>
      </c>
    </row>
    <row r="257" spans="1:5" x14ac:dyDescent="0.35">
      <c r="A257" t="s">
        <v>558</v>
      </c>
      <c r="B257" t="s">
        <v>391</v>
      </c>
      <c r="C257" t="s">
        <v>37</v>
      </c>
      <c r="D257">
        <v>98</v>
      </c>
      <c r="E257" t="s">
        <v>20</v>
      </c>
    </row>
    <row r="258" spans="1:5" x14ac:dyDescent="0.35">
      <c r="A258" t="s">
        <v>559</v>
      </c>
      <c r="B258" t="s">
        <v>47</v>
      </c>
      <c r="C258" t="s">
        <v>560</v>
      </c>
      <c r="D258">
        <v>92</v>
      </c>
      <c r="E258" t="s">
        <v>20</v>
      </c>
    </row>
    <row r="259" spans="1:5" x14ac:dyDescent="0.35">
      <c r="A259" t="s">
        <v>561</v>
      </c>
      <c r="B259" t="s">
        <v>51</v>
      </c>
      <c r="C259" t="s">
        <v>252</v>
      </c>
      <c r="D259">
        <v>111</v>
      </c>
      <c r="E259" t="s">
        <v>20</v>
      </c>
    </row>
    <row r="260" spans="1:5" x14ac:dyDescent="0.35">
      <c r="A260" t="s">
        <v>562</v>
      </c>
      <c r="B260" t="s">
        <v>43</v>
      </c>
      <c r="C260" t="s">
        <v>563</v>
      </c>
      <c r="D260">
        <v>98</v>
      </c>
      <c r="E260" t="s">
        <v>20</v>
      </c>
    </row>
    <row r="261" spans="1:5" x14ac:dyDescent="0.35">
      <c r="A261" t="s">
        <v>564</v>
      </c>
      <c r="B261" t="s">
        <v>6</v>
      </c>
      <c r="C261" t="s">
        <v>218</v>
      </c>
      <c r="D261">
        <v>104</v>
      </c>
      <c r="E261" t="s">
        <v>20</v>
      </c>
    </row>
    <row r="262" spans="1:5" x14ac:dyDescent="0.35">
      <c r="A262" t="s">
        <v>565</v>
      </c>
      <c r="B262" t="s">
        <v>6</v>
      </c>
      <c r="C262" t="s">
        <v>566</v>
      </c>
      <c r="D262">
        <v>95</v>
      </c>
      <c r="E262" t="s">
        <v>20</v>
      </c>
    </row>
    <row r="263" spans="1:5" x14ac:dyDescent="0.35">
      <c r="A263" t="s">
        <v>567</v>
      </c>
      <c r="B263" t="s">
        <v>29</v>
      </c>
      <c r="C263" t="s">
        <v>568</v>
      </c>
      <c r="D263">
        <v>88</v>
      </c>
      <c r="E263" t="s">
        <v>20</v>
      </c>
    </row>
    <row r="264" spans="1:5" x14ac:dyDescent="0.35">
      <c r="A264">
        <v>1922</v>
      </c>
      <c r="B264" t="s">
        <v>569</v>
      </c>
      <c r="C264" t="s">
        <v>570</v>
      </c>
      <c r="D264">
        <v>102</v>
      </c>
      <c r="E264" t="s">
        <v>20</v>
      </c>
    </row>
    <row r="265" spans="1:5" x14ac:dyDescent="0.35">
      <c r="A265" t="s">
        <v>571</v>
      </c>
      <c r="B265" t="s">
        <v>6</v>
      </c>
      <c r="C265" t="s">
        <v>572</v>
      </c>
      <c r="D265">
        <v>30</v>
      </c>
      <c r="E265" t="s">
        <v>93</v>
      </c>
    </row>
    <row r="266" spans="1:5" x14ac:dyDescent="0.35">
      <c r="A266" t="s">
        <v>573</v>
      </c>
      <c r="B266" t="s">
        <v>47</v>
      </c>
      <c r="C266" t="s">
        <v>574</v>
      </c>
      <c r="D266">
        <v>99</v>
      </c>
      <c r="E266" t="s">
        <v>20</v>
      </c>
    </row>
    <row r="267" spans="1:5" x14ac:dyDescent="0.35">
      <c r="A267" t="s">
        <v>575</v>
      </c>
      <c r="B267" t="s">
        <v>535</v>
      </c>
      <c r="C267" t="s">
        <v>576</v>
      </c>
      <c r="D267">
        <v>129</v>
      </c>
      <c r="E267" t="s">
        <v>20</v>
      </c>
    </row>
    <row r="268" spans="1:5" x14ac:dyDescent="0.35">
      <c r="A268" t="s">
        <v>577</v>
      </c>
      <c r="B268" t="s">
        <v>147</v>
      </c>
      <c r="C268" t="s">
        <v>578</v>
      </c>
      <c r="D268">
        <v>87</v>
      </c>
      <c r="E268" t="s">
        <v>20</v>
      </c>
    </row>
    <row r="269" spans="1:5" x14ac:dyDescent="0.35">
      <c r="A269" t="s">
        <v>579</v>
      </c>
      <c r="B269" t="s">
        <v>580</v>
      </c>
      <c r="C269" t="s">
        <v>581</v>
      </c>
      <c r="D269">
        <v>117</v>
      </c>
      <c r="E269" t="s">
        <v>20</v>
      </c>
    </row>
    <row r="270" spans="1:5" x14ac:dyDescent="0.35">
      <c r="A270" t="s">
        <v>582</v>
      </c>
      <c r="B270" t="s">
        <v>583</v>
      </c>
      <c r="C270" t="s">
        <v>584</v>
      </c>
      <c r="D270">
        <v>104</v>
      </c>
      <c r="E270" t="s">
        <v>20</v>
      </c>
    </row>
    <row r="271" spans="1:5" x14ac:dyDescent="0.35">
      <c r="A271" t="s">
        <v>585</v>
      </c>
      <c r="B271" t="s">
        <v>43</v>
      </c>
      <c r="C271" t="s">
        <v>82</v>
      </c>
      <c r="D271">
        <v>111</v>
      </c>
      <c r="E271" t="s">
        <v>20</v>
      </c>
    </row>
    <row r="272" spans="1:5" x14ac:dyDescent="0.35">
      <c r="A272" t="s">
        <v>586</v>
      </c>
      <c r="B272" t="s">
        <v>587</v>
      </c>
      <c r="C272" t="s">
        <v>323</v>
      </c>
      <c r="D272">
        <v>107</v>
      </c>
      <c r="E272" t="s">
        <v>20</v>
      </c>
    </row>
    <row r="273" spans="1:5" x14ac:dyDescent="0.35">
      <c r="A273" t="s">
        <v>588</v>
      </c>
      <c r="B273" t="s">
        <v>29</v>
      </c>
      <c r="C273" t="s">
        <v>589</v>
      </c>
      <c r="D273">
        <v>97</v>
      </c>
      <c r="E273" t="s">
        <v>102</v>
      </c>
    </row>
    <row r="274" spans="1:5" x14ac:dyDescent="0.35">
      <c r="A274" t="s">
        <v>590</v>
      </c>
      <c r="B274" t="s">
        <v>47</v>
      </c>
      <c r="C274" t="s">
        <v>469</v>
      </c>
      <c r="D274">
        <v>98</v>
      </c>
      <c r="E274" t="s">
        <v>88</v>
      </c>
    </row>
    <row r="275" spans="1:5" x14ac:dyDescent="0.35">
      <c r="A275" t="s">
        <v>591</v>
      </c>
      <c r="B275" t="s">
        <v>43</v>
      </c>
      <c r="C275" t="s">
        <v>592</v>
      </c>
      <c r="D275">
        <v>90</v>
      </c>
      <c r="E275" t="s">
        <v>49</v>
      </c>
    </row>
    <row r="276" spans="1:5" x14ac:dyDescent="0.35">
      <c r="A276" t="s">
        <v>593</v>
      </c>
      <c r="B276" t="s">
        <v>43</v>
      </c>
      <c r="C276" t="s">
        <v>560</v>
      </c>
      <c r="D276">
        <v>101</v>
      </c>
      <c r="E276" t="s">
        <v>24</v>
      </c>
    </row>
    <row r="277" spans="1:5" x14ac:dyDescent="0.35">
      <c r="A277" t="s">
        <v>594</v>
      </c>
      <c r="B277" t="s">
        <v>6</v>
      </c>
      <c r="C277" t="s">
        <v>192</v>
      </c>
      <c r="D277">
        <v>72</v>
      </c>
      <c r="E277" t="s">
        <v>20</v>
      </c>
    </row>
    <row r="278" spans="1:5" x14ac:dyDescent="0.35">
      <c r="A278" t="s">
        <v>595</v>
      </c>
      <c r="B278" t="s">
        <v>43</v>
      </c>
      <c r="C278" t="s">
        <v>596</v>
      </c>
      <c r="D278">
        <v>83</v>
      </c>
      <c r="E278" t="s">
        <v>12</v>
      </c>
    </row>
    <row r="279" spans="1:5" x14ac:dyDescent="0.35">
      <c r="A279" t="s">
        <v>597</v>
      </c>
      <c r="B279" t="s">
        <v>26</v>
      </c>
      <c r="C279" t="s">
        <v>598</v>
      </c>
      <c r="D279">
        <v>118</v>
      </c>
      <c r="E279" t="s">
        <v>20</v>
      </c>
    </row>
    <row r="280" spans="1:5" x14ac:dyDescent="0.35">
      <c r="A280" t="s">
        <v>599</v>
      </c>
      <c r="B280" t="s">
        <v>29</v>
      </c>
      <c r="C280" t="s">
        <v>600</v>
      </c>
      <c r="D280">
        <v>44</v>
      </c>
      <c r="E280" t="s">
        <v>102</v>
      </c>
    </row>
    <row r="281" spans="1:5" x14ac:dyDescent="0.35">
      <c r="A281" t="s">
        <v>601</v>
      </c>
      <c r="B281" t="s">
        <v>602</v>
      </c>
      <c r="C281" t="s">
        <v>603</v>
      </c>
      <c r="D281">
        <v>113</v>
      </c>
      <c r="E281" t="s">
        <v>20</v>
      </c>
    </row>
    <row r="282" spans="1:5" x14ac:dyDescent="0.35">
      <c r="A282" t="s">
        <v>604</v>
      </c>
      <c r="B282" t="s">
        <v>605</v>
      </c>
      <c r="C282" t="s">
        <v>606</v>
      </c>
      <c r="D282">
        <v>86</v>
      </c>
      <c r="E282" t="s">
        <v>20</v>
      </c>
    </row>
    <row r="283" spans="1:5" x14ac:dyDescent="0.35">
      <c r="A283" t="s">
        <v>607</v>
      </c>
      <c r="B283" t="s">
        <v>608</v>
      </c>
      <c r="C283" t="s">
        <v>609</v>
      </c>
      <c r="D283">
        <v>108</v>
      </c>
      <c r="E283" t="s">
        <v>20</v>
      </c>
    </row>
    <row r="284" spans="1:5" x14ac:dyDescent="0.35">
      <c r="A284" t="s">
        <v>610</v>
      </c>
      <c r="B284" t="s">
        <v>611</v>
      </c>
      <c r="C284" t="s">
        <v>612</v>
      </c>
      <c r="D284">
        <v>85</v>
      </c>
      <c r="E284" t="s">
        <v>20</v>
      </c>
    </row>
    <row r="285" spans="1:5" x14ac:dyDescent="0.35">
      <c r="A285" t="s">
        <v>613</v>
      </c>
      <c r="B285" t="s">
        <v>14</v>
      </c>
      <c r="C285" t="s">
        <v>614</v>
      </c>
      <c r="D285">
        <v>102</v>
      </c>
      <c r="E285" t="s">
        <v>20</v>
      </c>
    </row>
    <row r="286" spans="1:5" x14ac:dyDescent="0.35">
      <c r="A286" t="s">
        <v>615</v>
      </c>
      <c r="B286" t="s">
        <v>43</v>
      </c>
      <c r="C286" t="s">
        <v>616</v>
      </c>
      <c r="D286">
        <v>151</v>
      </c>
      <c r="E286" t="s">
        <v>293</v>
      </c>
    </row>
    <row r="287" spans="1:5" x14ac:dyDescent="0.35">
      <c r="A287" t="s">
        <v>617</v>
      </c>
      <c r="B287" t="s">
        <v>215</v>
      </c>
      <c r="C287" t="s">
        <v>353</v>
      </c>
      <c r="D287">
        <v>98</v>
      </c>
      <c r="E287" t="s">
        <v>20</v>
      </c>
    </row>
    <row r="288" spans="1:5" x14ac:dyDescent="0.35">
      <c r="A288" t="s">
        <v>618</v>
      </c>
      <c r="B288" t="s">
        <v>6</v>
      </c>
      <c r="C288" t="s">
        <v>383</v>
      </c>
      <c r="D288">
        <v>87</v>
      </c>
      <c r="E288" t="s">
        <v>20</v>
      </c>
    </row>
    <row r="289" spans="1:5" x14ac:dyDescent="0.35">
      <c r="A289" t="s">
        <v>619</v>
      </c>
      <c r="B289" t="s">
        <v>287</v>
      </c>
      <c r="C289" t="s">
        <v>620</v>
      </c>
      <c r="D289">
        <v>120</v>
      </c>
      <c r="E289" t="s">
        <v>8</v>
      </c>
    </row>
    <row r="290" spans="1:5" x14ac:dyDescent="0.35">
      <c r="A290" t="s">
        <v>621</v>
      </c>
      <c r="B290" t="s">
        <v>10</v>
      </c>
      <c r="C290" t="s">
        <v>622</v>
      </c>
      <c r="D290">
        <v>134</v>
      </c>
      <c r="E290" t="s">
        <v>45</v>
      </c>
    </row>
    <row r="291" spans="1:5" x14ac:dyDescent="0.35">
      <c r="A291" t="s">
        <v>623</v>
      </c>
      <c r="B291" t="s">
        <v>47</v>
      </c>
      <c r="C291" t="s">
        <v>624</v>
      </c>
      <c r="D291">
        <v>109</v>
      </c>
      <c r="E291" t="s">
        <v>20</v>
      </c>
    </row>
    <row r="292" spans="1:5" x14ac:dyDescent="0.35">
      <c r="A292" t="s">
        <v>625</v>
      </c>
      <c r="B292" t="s">
        <v>6</v>
      </c>
      <c r="C292" t="s">
        <v>626</v>
      </c>
      <c r="D292">
        <v>85</v>
      </c>
      <c r="E292" t="s">
        <v>20</v>
      </c>
    </row>
    <row r="293" spans="1:5" x14ac:dyDescent="0.35">
      <c r="A293" t="s">
        <v>627</v>
      </c>
      <c r="B293" t="s">
        <v>43</v>
      </c>
      <c r="C293" t="s">
        <v>456</v>
      </c>
      <c r="D293">
        <v>103</v>
      </c>
      <c r="E293" t="s">
        <v>20</v>
      </c>
    </row>
    <row r="294" spans="1:5" x14ac:dyDescent="0.35">
      <c r="A294" t="s">
        <v>628</v>
      </c>
      <c r="B294" t="s">
        <v>6</v>
      </c>
      <c r="C294" t="s">
        <v>629</v>
      </c>
      <c r="D294">
        <v>94</v>
      </c>
      <c r="E294" t="s">
        <v>88</v>
      </c>
    </row>
    <row r="295" spans="1:5" x14ac:dyDescent="0.35">
      <c r="A295" t="s">
        <v>630</v>
      </c>
      <c r="B295" t="s">
        <v>631</v>
      </c>
      <c r="C295" t="s">
        <v>632</v>
      </c>
      <c r="D295">
        <v>97</v>
      </c>
      <c r="E295" t="s">
        <v>20</v>
      </c>
    </row>
    <row r="296" spans="1:5" x14ac:dyDescent="0.35">
      <c r="A296" t="s">
        <v>633</v>
      </c>
      <c r="B296" t="s">
        <v>397</v>
      </c>
      <c r="C296" t="s">
        <v>634</v>
      </c>
      <c r="D296">
        <v>88</v>
      </c>
      <c r="E296" t="s">
        <v>20</v>
      </c>
    </row>
    <row r="297" spans="1:5" x14ac:dyDescent="0.35">
      <c r="A297" t="s">
        <v>635</v>
      </c>
      <c r="B297" t="s">
        <v>6</v>
      </c>
      <c r="C297" t="s">
        <v>636</v>
      </c>
      <c r="D297">
        <v>37</v>
      </c>
      <c r="E297" t="s">
        <v>93</v>
      </c>
    </row>
    <row r="298" spans="1:5" x14ac:dyDescent="0.35">
      <c r="A298" t="s">
        <v>637</v>
      </c>
      <c r="B298" t="s">
        <v>638</v>
      </c>
      <c r="C298" t="s">
        <v>639</v>
      </c>
      <c r="D298">
        <v>112</v>
      </c>
      <c r="E298" t="s">
        <v>12</v>
      </c>
    </row>
    <row r="299" spans="1:5" x14ac:dyDescent="0.35">
      <c r="A299" t="s">
        <v>640</v>
      </c>
      <c r="B299" t="s">
        <v>442</v>
      </c>
      <c r="C299" t="s">
        <v>400</v>
      </c>
      <c r="D299">
        <v>102</v>
      </c>
      <c r="E299" t="s">
        <v>20</v>
      </c>
    </row>
    <row r="300" spans="1:5" x14ac:dyDescent="0.35">
      <c r="A300" t="s">
        <v>641</v>
      </c>
      <c r="B300" t="s">
        <v>10</v>
      </c>
      <c r="C300" t="s">
        <v>616</v>
      </c>
      <c r="D300">
        <v>100</v>
      </c>
      <c r="E300" t="s">
        <v>20</v>
      </c>
    </row>
    <row r="301" spans="1:5" x14ac:dyDescent="0.35">
      <c r="A301" t="s">
        <v>642</v>
      </c>
      <c r="B301" t="s">
        <v>43</v>
      </c>
      <c r="C301" t="s">
        <v>643</v>
      </c>
      <c r="D301">
        <v>96</v>
      </c>
      <c r="E301" t="s">
        <v>20</v>
      </c>
    </row>
    <row r="302" spans="1:5" x14ac:dyDescent="0.35">
      <c r="A302" t="s">
        <v>644</v>
      </c>
      <c r="B302" t="s">
        <v>47</v>
      </c>
      <c r="C302" t="s">
        <v>645</v>
      </c>
      <c r="D302">
        <v>113</v>
      </c>
      <c r="E302" t="s">
        <v>125</v>
      </c>
    </row>
    <row r="303" spans="1:5" x14ac:dyDescent="0.35">
      <c r="A303" t="s">
        <v>646</v>
      </c>
      <c r="B303" t="s">
        <v>6</v>
      </c>
      <c r="C303" t="s">
        <v>647</v>
      </c>
      <c r="D303">
        <v>16</v>
      </c>
      <c r="E303" t="s">
        <v>20</v>
      </c>
    </row>
    <row r="304" spans="1:5" x14ac:dyDescent="0.35">
      <c r="A304" t="s">
        <v>648</v>
      </c>
      <c r="B304" t="s">
        <v>172</v>
      </c>
      <c r="C304" t="s">
        <v>160</v>
      </c>
      <c r="D304">
        <v>119</v>
      </c>
      <c r="E304" t="s">
        <v>49</v>
      </c>
    </row>
    <row r="305" spans="1:5" x14ac:dyDescent="0.35">
      <c r="A305" t="s">
        <v>649</v>
      </c>
      <c r="B305" t="s">
        <v>6</v>
      </c>
      <c r="C305" t="s">
        <v>650</v>
      </c>
      <c r="D305">
        <v>97</v>
      </c>
      <c r="E305" t="s">
        <v>20</v>
      </c>
    </row>
    <row r="306" spans="1:5" x14ac:dyDescent="0.35">
      <c r="A306" t="s">
        <v>651</v>
      </c>
      <c r="B306" t="s">
        <v>6</v>
      </c>
      <c r="C306" t="s">
        <v>652</v>
      </c>
      <c r="D306">
        <v>81</v>
      </c>
      <c r="E306" t="s">
        <v>20</v>
      </c>
    </row>
    <row r="307" spans="1:5" x14ac:dyDescent="0.35">
      <c r="A307" t="s">
        <v>653</v>
      </c>
      <c r="B307" t="s">
        <v>215</v>
      </c>
      <c r="C307" t="s">
        <v>654</v>
      </c>
      <c r="D307">
        <v>98</v>
      </c>
      <c r="E307" t="s">
        <v>20</v>
      </c>
    </row>
    <row r="308" spans="1:5" x14ac:dyDescent="0.35">
      <c r="A308" t="s">
        <v>655</v>
      </c>
      <c r="B308" t="s">
        <v>656</v>
      </c>
      <c r="C308" t="s">
        <v>657</v>
      </c>
      <c r="D308">
        <v>95</v>
      </c>
      <c r="E308" t="s">
        <v>20</v>
      </c>
    </row>
    <row r="309" spans="1:5" x14ac:dyDescent="0.35">
      <c r="A309" t="s">
        <v>658</v>
      </c>
      <c r="B309" t="s">
        <v>43</v>
      </c>
      <c r="C309" t="s">
        <v>659</v>
      </c>
      <c r="D309">
        <v>96</v>
      </c>
      <c r="E309" t="s">
        <v>88</v>
      </c>
    </row>
    <row r="310" spans="1:5" x14ac:dyDescent="0.35">
      <c r="A310" t="s">
        <v>660</v>
      </c>
      <c r="B310" t="s">
        <v>6</v>
      </c>
      <c r="C310" t="s">
        <v>661</v>
      </c>
      <c r="D310">
        <v>107</v>
      </c>
      <c r="E310" t="s">
        <v>20</v>
      </c>
    </row>
    <row r="311" spans="1:5" x14ac:dyDescent="0.35">
      <c r="A311" t="s">
        <v>662</v>
      </c>
      <c r="B311" t="s">
        <v>663</v>
      </c>
      <c r="C311" t="s">
        <v>554</v>
      </c>
      <c r="D311">
        <v>41</v>
      </c>
      <c r="E311" t="s">
        <v>20</v>
      </c>
    </row>
    <row r="312" spans="1:5" x14ac:dyDescent="0.35">
      <c r="A312" t="s">
        <v>664</v>
      </c>
      <c r="B312" t="s">
        <v>6</v>
      </c>
      <c r="C312" t="s">
        <v>578</v>
      </c>
      <c r="D312">
        <v>87</v>
      </c>
      <c r="E312" t="s">
        <v>20</v>
      </c>
    </row>
    <row r="313" spans="1:5" x14ac:dyDescent="0.35">
      <c r="A313" t="s">
        <v>665</v>
      </c>
      <c r="B313" t="s">
        <v>215</v>
      </c>
      <c r="C313" t="s">
        <v>666</v>
      </c>
      <c r="D313">
        <v>101</v>
      </c>
      <c r="E313" t="s">
        <v>49</v>
      </c>
    </row>
    <row r="314" spans="1:5" x14ac:dyDescent="0.35">
      <c r="A314" t="s">
        <v>667</v>
      </c>
      <c r="B314" t="s">
        <v>6</v>
      </c>
      <c r="C314" t="s">
        <v>197</v>
      </c>
      <c r="D314">
        <v>97</v>
      </c>
      <c r="E314" t="s">
        <v>20</v>
      </c>
    </row>
    <row r="315" spans="1:5" x14ac:dyDescent="0.35">
      <c r="A315" t="s">
        <v>668</v>
      </c>
      <c r="B315" t="s">
        <v>10</v>
      </c>
      <c r="C315" t="s">
        <v>669</v>
      </c>
      <c r="D315">
        <v>103</v>
      </c>
      <c r="E315" t="s">
        <v>12</v>
      </c>
    </row>
    <row r="316" spans="1:5" x14ac:dyDescent="0.35">
      <c r="A316" t="s">
        <v>670</v>
      </c>
      <c r="B316" t="s">
        <v>671</v>
      </c>
      <c r="C316" t="s">
        <v>672</v>
      </c>
      <c r="D316">
        <v>90</v>
      </c>
      <c r="E316" t="s">
        <v>20</v>
      </c>
    </row>
    <row r="317" spans="1:5" x14ac:dyDescent="0.35">
      <c r="A317" t="s">
        <v>673</v>
      </c>
      <c r="B317" t="s">
        <v>153</v>
      </c>
      <c r="C317" t="s">
        <v>674</v>
      </c>
      <c r="D317">
        <v>125</v>
      </c>
      <c r="E317" t="s">
        <v>20</v>
      </c>
    </row>
    <row r="318" spans="1:5" x14ac:dyDescent="0.35">
      <c r="A318" t="s">
        <v>675</v>
      </c>
      <c r="B318" t="s">
        <v>6</v>
      </c>
      <c r="C318" t="s">
        <v>318</v>
      </c>
      <c r="D318">
        <v>116</v>
      </c>
      <c r="E318" t="s">
        <v>676</v>
      </c>
    </row>
    <row r="319" spans="1:5" x14ac:dyDescent="0.35">
      <c r="A319" t="s">
        <v>677</v>
      </c>
      <c r="B319" t="s">
        <v>43</v>
      </c>
      <c r="C319" t="s">
        <v>477</v>
      </c>
      <c r="D319">
        <v>99</v>
      </c>
      <c r="E319" t="s">
        <v>20</v>
      </c>
    </row>
    <row r="320" spans="1:5" x14ac:dyDescent="0.35">
      <c r="A320" t="s">
        <v>678</v>
      </c>
      <c r="B320" t="s">
        <v>679</v>
      </c>
      <c r="C320" t="s">
        <v>570</v>
      </c>
      <c r="D320">
        <v>82</v>
      </c>
      <c r="E320" t="s">
        <v>20</v>
      </c>
    </row>
    <row r="321" spans="1:5" x14ac:dyDescent="0.35">
      <c r="A321" t="s">
        <v>680</v>
      </c>
      <c r="B321" t="s">
        <v>47</v>
      </c>
      <c r="C321" t="s">
        <v>681</v>
      </c>
      <c r="D321">
        <v>97</v>
      </c>
      <c r="E321" t="s">
        <v>20</v>
      </c>
    </row>
    <row r="322" spans="1:5" x14ac:dyDescent="0.35">
      <c r="A322" t="s">
        <v>682</v>
      </c>
      <c r="B322" t="s">
        <v>6</v>
      </c>
      <c r="C322" t="s">
        <v>683</v>
      </c>
      <c r="D322">
        <v>28</v>
      </c>
      <c r="E322" t="s">
        <v>93</v>
      </c>
    </row>
    <row r="323" spans="1:5" x14ac:dyDescent="0.35">
      <c r="A323" t="s">
        <v>684</v>
      </c>
      <c r="B323" t="s">
        <v>322</v>
      </c>
      <c r="C323" t="s">
        <v>685</v>
      </c>
      <c r="D323">
        <v>108</v>
      </c>
      <c r="E323" t="s">
        <v>20</v>
      </c>
    </row>
    <row r="324" spans="1:5" x14ac:dyDescent="0.35">
      <c r="A324" t="s">
        <v>686</v>
      </c>
      <c r="B324" t="s">
        <v>43</v>
      </c>
      <c r="C324" t="s">
        <v>538</v>
      </c>
      <c r="D324">
        <v>93</v>
      </c>
      <c r="E324" t="s">
        <v>20</v>
      </c>
    </row>
    <row r="325" spans="1:5" x14ac:dyDescent="0.35">
      <c r="A325" t="s">
        <v>687</v>
      </c>
      <c r="B325" t="s">
        <v>688</v>
      </c>
      <c r="C325" t="s">
        <v>689</v>
      </c>
      <c r="D325">
        <v>74</v>
      </c>
      <c r="E325" t="s">
        <v>293</v>
      </c>
    </row>
    <row r="326" spans="1:5" x14ac:dyDescent="0.35">
      <c r="A326" t="s">
        <v>690</v>
      </c>
      <c r="B326" t="s">
        <v>6</v>
      </c>
      <c r="C326" t="s">
        <v>691</v>
      </c>
      <c r="D326">
        <v>60</v>
      </c>
      <c r="E326" t="s">
        <v>88</v>
      </c>
    </row>
    <row r="327" spans="1:5" x14ac:dyDescent="0.35">
      <c r="A327" t="s">
        <v>692</v>
      </c>
      <c r="B327" t="s">
        <v>693</v>
      </c>
      <c r="C327" t="s">
        <v>462</v>
      </c>
      <c r="D327">
        <v>9</v>
      </c>
      <c r="E327" t="s">
        <v>20</v>
      </c>
    </row>
    <row r="328" spans="1:5" x14ac:dyDescent="0.35">
      <c r="A328" t="s">
        <v>694</v>
      </c>
      <c r="B328" t="s">
        <v>6</v>
      </c>
      <c r="C328" t="s">
        <v>695</v>
      </c>
      <c r="D328">
        <v>21</v>
      </c>
      <c r="E328" t="s">
        <v>20</v>
      </c>
    </row>
    <row r="329" spans="1:5" x14ac:dyDescent="0.35">
      <c r="A329" t="s">
        <v>696</v>
      </c>
      <c r="B329" t="s">
        <v>29</v>
      </c>
      <c r="C329" t="s">
        <v>697</v>
      </c>
      <c r="D329">
        <v>100</v>
      </c>
      <c r="E329" t="s">
        <v>24</v>
      </c>
    </row>
    <row r="330" spans="1:5" x14ac:dyDescent="0.35">
      <c r="A330" t="s">
        <v>698</v>
      </c>
      <c r="B330" t="s">
        <v>699</v>
      </c>
      <c r="C330" t="s">
        <v>700</v>
      </c>
      <c r="D330">
        <v>155</v>
      </c>
      <c r="E330" t="s">
        <v>20</v>
      </c>
    </row>
    <row r="331" spans="1:5" x14ac:dyDescent="0.35">
      <c r="A331" t="s">
        <v>701</v>
      </c>
      <c r="B331" t="s">
        <v>6</v>
      </c>
      <c r="C331" t="s">
        <v>702</v>
      </c>
      <c r="D331">
        <v>55</v>
      </c>
      <c r="E331" t="s">
        <v>20</v>
      </c>
    </row>
    <row r="332" spans="1:5" x14ac:dyDescent="0.35">
      <c r="A332" t="s">
        <v>703</v>
      </c>
      <c r="B332" t="s">
        <v>638</v>
      </c>
      <c r="C332" t="s">
        <v>704</v>
      </c>
      <c r="D332">
        <v>123</v>
      </c>
      <c r="E332" t="s">
        <v>20</v>
      </c>
    </row>
    <row r="333" spans="1:5" x14ac:dyDescent="0.35">
      <c r="A333" t="s">
        <v>705</v>
      </c>
      <c r="B333" t="s">
        <v>18</v>
      </c>
      <c r="C333" t="s">
        <v>706</v>
      </c>
      <c r="D333">
        <v>103</v>
      </c>
      <c r="E333" t="s">
        <v>20</v>
      </c>
    </row>
    <row r="334" spans="1:5" x14ac:dyDescent="0.35">
      <c r="A334" t="s">
        <v>707</v>
      </c>
      <c r="B334" t="s">
        <v>10</v>
      </c>
      <c r="C334" t="s">
        <v>23</v>
      </c>
      <c r="D334">
        <v>93</v>
      </c>
      <c r="E334" t="s">
        <v>20</v>
      </c>
    </row>
    <row r="335" spans="1:5" x14ac:dyDescent="0.35">
      <c r="A335" t="s">
        <v>708</v>
      </c>
      <c r="B335" t="s">
        <v>709</v>
      </c>
      <c r="C335" t="s">
        <v>710</v>
      </c>
      <c r="D335">
        <v>119</v>
      </c>
      <c r="E335" t="s">
        <v>20</v>
      </c>
    </row>
    <row r="336" spans="1:5" x14ac:dyDescent="0.35">
      <c r="A336" t="s">
        <v>711</v>
      </c>
      <c r="B336" t="s">
        <v>6</v>
      </c>
      <c r="C336" t="s">
        <v>480</v>
      </c>
      <c r="D336">
        <v>40</v>
      </c>
      <c r="E336" t="s">
        <v>712</v>
      </c>
    </row>
    <row r="337" spans="1:5" x14ac:dyDescent="0.35">
      <c r="A337" t="s">
        <v>713</v>
      </c>
      <c r="B337" t="s">
        <v>43</v>
      </c>
      <c r="C337" t="s">
        <v>714</v>
      </c>
      <c r="D337">
        <v>120</v>
      </c>
      <c r="E337" t="s">
        <v>24</v>
      </c>
    </row>
    <row r="338" spans="1:5" x14ac:dyDescent="0.35">
      <c r="A338" t="s">
        <v>715</v>
      </c>
      <c r="B338" t="s">
        <v>43</v>
      </c>
      <c r="C338" t="s">
        <v>716</v>
      </c>
      <c r="D338">
        <v>98</v>
      </c>
      <c r="E338" t="s">
        <v>20</v>
      </c>
    </row>
    <row r="339" spans="1:5" x14ac:dyDescent="0.35">
      <c r="A339" t="s">
        <v>717</v>
      </c>
      <c r="B339" t="s">
        <v>520</v>
      </c>
      <c r="C339" t="s">
        <v>90</v>
      </c>
      <c r="D339">
        <v>104</v>
      </c>
      <c r="E339" t="s">
        <v>20</v>
      </c>
    </row>
    <row r="340" spans="1:5" x14ac:dyDescent="0.35">
      <c r="A340" t="s">
        <v>718</v>
      </c>
      <c r="B340" t="s">
        <v>43</v>
      </c>
      <c r="C340" t="s">
        <v>719</v>
      </c>
      <c r="D340">
        <v>91</v>
      </c>
      <c r="E340" t="s">
        <v>12</v>
      </c>
    </row>
    <row r="341" spans="1:5" x14ac:dyDescent="0.35">
      <c r="A341" t="s">
        <v>720</v>
      </c>
      <c r="B341" t="s">
        <v>6</v>
      </c>
      <c r="C341" t="s">
        <v>721</v>
      </c>
      <c r="D341">
        <v>95</v>
      </c>
      <c r="E341" t="s">
        <v>20</v>
      </c>
    </row>
    <row r="342" spans="1:5" x14ac:dyDescent="0.35">
      <c r="A342" t="s">
        <v>722</v>
      </c>
      <c r="B342" t="s">
        <v>723</v>
      </c>
      <c r="C342" t="s">
        <v>724</v>
      </c>
      <c r="D342">
        <v>101</v>
      </c>
      <c r="E342" t="s">
        <v>88</v>
      </c>
    </row>
    <row r="343" spans="1:5" x14ac:dyDescent="0.35">
      <c r="A343" t="s">
        <v>725</v>
      </c>
      <c r="B343" t="s">
        <v>47</v>
      </c>
      <c r="C343" t="s">
        <v>714</v>
      </c>
      <c r="D343">
        <v>105</v>
      </c>
      <c r="E343" t="s">
        <v>20</v>
      </c>
    </row>
    <row r="344" spans="1:5" x14ac:dyDescent="0.35">
      <c r="A344" t="s">
        <v>726</v>
      </c>
      <c r="B344" t="s">
        <v>29</v>
      </c>
      <c r="C344" t="s">
        <v>727</v>
      </c>
      <c r="D344">
        <v>83</v>
      </c>
      <c r="E344" t="s">
        <v>20</v>
      </c>
    </row>
    <row r="345" spans="1:5" x14ac:dyDescent="0.35">
      <c r="A345" t="s">
        <v>728</v>
      </c>
      <c r="B345" t="s">
        <v>43</v>
      </c>
      <c r="C345" t="s">
        <v>137</v>
      </c>
      <c r="D345">
        <v>91</v>
      </c>
      <c r="E345" t="s">
        <v>729</v>
      </c>
    </row>
    <row r="346" spans="1:5" x14ac:dyDescent="0.35">
      <c r="A346" t="s">
        <v>730</v>
      </c>
      <c r="B346" t="s">
        <v>322</v>
      </c>
      <c r="C346" t="s">
        <v>603</v>
      </c>
      <c r="D346">
        <v>83</v>
      </c>
      <c r="E346" t="s">
        <v>20</v>
      </c>
    </row>
    <row r="347" spans="1:5" x14ac:dyDescent="0.35">
      <c r="A347" t="s">
        <v>731</v>
      </c>
      <c r="B347" t="s">
        <v>732</v>
      </c>
      <c r="C347" t="s">
        <v>733</v>
      </c>
      <c r="D347">
        <v>17</v>
      </c>
      <c r="E347" t="s">
        <v>20</v>
      </c>
    </row>
    <row r="348" spans="1:5" x14ac:dyDescent="0.35">
      <c r="A348" t="s">
        <v>734</v>
      </c>
      <c r="B348" t="s">
        <v>735</v>
      </c>
      <c r="C348" t="s">
        <v>340</v>
      </c>
      <c r="D348">
        <v>86</v>
      </c>
      <c r="E348" t="s">
        <v>20</v>
      </c>
    </row>
    <row r="349" spans="1:5" x14ac:dyDescent="0.35">
      <c r="A349" t="s">
        <v>736</v>
      </c>
      <c r="B349" t="s">
        <v>375</v>
      </c>
      <c r="C349" t="s">
        <v>600</v>
      </c>
      <c r="D349">
        <v>124</v>
      </c>
      <c r="E349" t="s">
        <v>20</v>
      </c>
    </row>
    <row r="350" spans="1:5" x14ac:dyDescent="0.35">
      <c r="A350" t="s">
        <v>737</v>
      </c>
      <c r="B350" t="s">
        <v>95</v>
      </c>
      <c r="C350" t="s">
        <v>719</v>
      </c>
      <c r="D350">
        <v>94</v>
      </c>
      <c r="E350" t="s">
        <v>24</v>
      </c>
    </row>
    <row r="351" spans="1:5" x14ac:dyDescent="0.35">
      <c r="A351" t="s">
        <v>738</v>
      </c>
      <c r="B351" t="s">
        <v>47</v>
      </c>
      <c r="C351" t="s">
        <v>75</v>
      </c>
      <c r="D351">
        <v>102</v>
      </c>
      <c r="E351" t="s">
        <v>12</v>
      </c>
    </row>
    <row r="352" spans="1:5" x14ac:dyDescent="0.35">
      <c r="A352" t="s">
        <v>739</v>
      </c>
      <c r="B352" t="s">
        <v>322</v>
      </c>
      <c r="C352" t="s">
        <v>740</v>
      </c>
      <c r="D352">
        <v>118</v>
      </c>
      <c r="E352" t="s">
        <v>12</v>
      </c>
    </row>
    <row r="353" spans="1:5" x14ac:dyDescent="0.35">
      <c r="A353" t="s">
        <v>741</v>
      </c>
      <c r="B353" t="s">
        <v>6</v>
      </c>
      <c r="C353" t="s">
        <v>742</v>
      </c>
      <c r="D353">
        <v>79</v>
      </c>
      <c r="E353" t="s">
        <v>20</v>
      </c>
    </row>
    <row r="354" spans="1:5" x14ac:dyDescent="0.35">
      <c r="A354" t="s">
        <v>743</v>
      </c>
      <c r="B354" t="s">
        <v>375</v>
      </c>
      <c r="C354" t="s">
        <v>744</v>
      </c>
      <c r="D354">
        <v>134</v>
      </c>
      <c r="E354" t="s">
        <v>20</v>
      </c>
    </row>
    <row r="355" spans="1:5" x14ac:dyDescent="0.35">
      <c r="A355" t="s">
        <v>745</v>
      </c>
      <c r="B355" t="s">
        <v>6</v>
      </c>
      <c r="C355" t="s">
        <v>104</v>
      </c>
      <c r="D355">
        <v>126</v>
      </c>
      <c r="E355" t="s">
        <v>20</v>
      </c>
    </row>
    <row r="356" spans="1:5" x14ac:dyDescent="0.35">
      <c r="A356" t="s">
        <v>746</v>
      </c>
      <c r="B356" t="s">
        <v>43</v>
      </c>
      <c r="C356" t="s">
        <v>716</v>
      </c>
      <c r="D356">
        <v>98</v>
      </c>
      <c r="E356" t="s">
        <v>24</v>
      </c>
    </row>
    <row r="357" spans="1:5" x14ac:dyDescent="0.35">
      <c r="A357" t="s">
        <v>747</v>
      </c>
      <c r="B357" t="s">
        <v>6</v>
      </c>
      <c r="C357" t="s">
        <v>422</v>
      </c>
      <c r="D357">
        <v>89</v>
      </c>
      <c r="E357" t="s">
        <v>20</v>
      </c>
    </row>
    <row r="358" spans="1:5" x14ac:dyDescent="0.35">
      <c r="A358" t="s">
        <v>748</v>
      </c>
      <c r="B358" t="s">
        <v>6</v>
      </c>
      <c r="C358" t="s">
        <v>90</v>
      </c>
      <c r="D358">
        <v>58</v>
      </c>
      <c r="E358" t="s">
        <v>20</v>
      </c>
    </row>
    <row r="359" spans="1:5" x14ac:dyDescent="0.35">
      <c r="A359" t="s">
        <v>749</v>
      </c>
      <c r="B359" t="s">
        <v>6</v>
      </c>
      <c r="C359" t="s">
        <v>750</v>
      </c>
      <c r="D359">
        <v>83</v>
      </c>
      <c r="E359" t="s">
        <v>20</v>
      </c>
    </row>
    <row r="360" spans="1:5" x14ac:dyDescent="0.35">
      <c r="A360" t="s">
        <v>751</v>
      </c>
      <c r="B360" t="s">
        <v>207</v>
      </c>
      <c r="C360" t="s">
        <v>213</v>
      </c>
      <c r="D360">
        <v>136</v>
      </c>
      <c r="E360" t="s">
        <v>45</v>
      </c>
    </row>
    <row r="361" spans="1:5" x14ac:dyDescent="0.35">
      <c r="A361" t="s">
        <v>752</v>
      </c>
      <c r="B361" t="s">
        <v>6</v>
      </c>
      <c r="C361" t="s">
        <v>90</v>
      </c>
      <c r="D361">
        <v>98</v>
      </c>
      <c r="E361" t="s">
        <v>20</v>
      </c>
    </row>
    <row r="362" spans="1:5" x14ac:dyDescent="0.35">
      <c r="A362" t="s">
        <v>753</v>
      </c>
      <c r="B362" t="s">
        <v>754</v>
      </c>
      <c r="C362" t="s">
        <v>563</v>
      </c>
      <c r="D362">
        <v>114</v>
      </c>
      <c r="E362" t="s">
        <v>20</v>
      </c>
    </row>
    <row r="363" spans="1:5" x14ac:dyDescent="0.35">
      <c r="A363" t="s">
        <v>755</v>
      </c>
      <c r="B363" t="s">
        <v>287</v>
      </c>
      <c r="C363" t="s">
        <v>647</v>
      </c>
      <c r="D363">
        <v>99</v>
      </c>
      <c r="E363" t="s">
        <v>12</v>
      </c>
    </row>
    <row r="364" spans="1:5" x14ac:dyDescent="0.35">
      <c r="A364" t="s">
        <v>756</v>
      </c>
      <c r="B364" t="s">
        <v>754</v>
      </c>
      <c r="C364" t="s">
        <v>757</v>
      </c>
      <c r="D364">
        <v>130</v>
      </c>
      <c r="E364" t="s">
        <v>20</v>
      </c>
    </row>
    <row r="365" spans="1:5" x14ac:dyDescent="0.35">
      <c r="A365" t="s">
        <v>758</v>
      </c>
      <c r="B365" t="s">
        <v>6</v>
      </c>
      <c r="C365" t="s">
        <v>260</v>
      </c>
      <c r="D365">
        <v>32</v>
      </c>
      <c r="E365" t="s">
        <v>20</v>
      </c>
    </row>
    <row r="366" spans="1:5" x14ac:dyDescent="0.35">
      <c r="A366" t="s">
        <v>759</v>
      </c>
      <c r="B366" t="s">
        <v>760</v>
      </c>
      <c r="C366" t="s">
        <v>364</v>
      </c>
      <c r="D366">
        <v>104</v>
      </c>
      <c r="E366" t="s">
        <v>293</v>
      </c>
    </row>
    <row r="367" spans="1:5" x14ac:dyDescent="0.35">
      <c r="A367" t="s">
        <v>761</v>
      </c>
      <c r="B367" t="s">
        <v>43</v>
      </c>
      <c r="C367" t="s">
        <v>762</v>
      </c>
      <c r="D367">
        <v>142</v>
      </c>
      <c r="E367" t="s">
        <v>24</v>
      </c>
    </row>
    <row r="368" spans="1:5" x14ac:dyDescent="0.35">
      <c r="A368" t="s">
        <v>763</v>
      </c>
      <c r="B368" t="s">
        <v>764</v>
      </c>
      <c r="C368" t="s">
        <v>762</v>
      </c>
      <c r="D368">
        <v>92</v>
      </c>
      <c r="E368" t="s">
        <v>20</v>
      </c>
    </row>
    <row r="369" spans="1:5" x14ac:dyDescent="0.35">
      <c r="A369" t="s">
        <v>765</v>
      </c>
      <c r="B369" t="s">
        <v>6</v>
      </c>
      <c r="C369" t="s">
        <v>766</v>
      </c>
      <c r="D369">
        <v>86</v>
      </c>
      <c r="E369" t="s">
        <v>20</v>
      </c>
    </row>
    <row r="370" spans="1:5" x14ac:dyDescent="0.35">
      <c r="A370" t="s">
        <v>767</v>
      </c>
      <c r="B370" t="s">
        <v>688</v>
      </c>
      <c r="C370" t="s">
        <v>768</v>
      </c>
      <c r="D370">
        <v>106</v>
      </c>
      <c r="E370" t="s">
        <v>293</v>
      </c>
    </row>
    <row r="371" spans="1:5" x14ac:dyDescent="0.35">
      <c r="A371" t="s">
        <v>769</v>
      </c>
      <c r="B371" t="s">
        <v>43</v>
      </c>
      <c r="C371" t="s">
        <v>770</v>
      </c>
      <c r="D371">
        <v>95</v>
      </c>
      <c r="E371" t="s">
        <v>20</v>
      </c>
    </row>
    <row r="372" spans="1:5" x14ac:dyDescent="0.35">
      <c r="A372" t="s">
        <v>771</v>
      </c>
      <c r="B372" t="s">
        <v>6</v>
      </c>
      <c r="C372" t="s">
        <v>772</v>
      </c>
      <c r="D372">
        <v>91</v>
      </c>
      <c r="E372" t="s">
        <v>20</v>
      </c>
    </row>
    <row r="373" spans="1:5" x14ac:dyDescent="0.35">
      <c r="A373" t="s">
        <v>773</v>
      </c>
      <c r="B373" t="s">
        <v>6</v>
      </c>
      <c r="C373" t="s">
        <v>774</v>
      </c>
      <c r="D373">
        <v>89</v>
      </c>
      <c r="E373" t="s">
        <v>20</v>
      </c>
    </row>
    <row r="374" spans="1:5" x14ac:dyDescent="0.35">
      <c r="A374" t="s">
        <v>775</v>
      </c>
      <c r="B374" t="s">
        <v>26</v>
      </c>
      <c r="C374" t="s">
        <v>776</v>
      </c>
      <c r="D374">
        <v>117</v>
      </c>
      <c r="E374" t="s">
        <v>20</v>
      </c>
    </row>
    <row r="375" spans="1:5" x14ac:dyDescent="0.35">
      <c r="A375" t="s">
        <v>777</v>
      </c>
      <c r="B375" t="s">
        <v>6</v>
      </c>
      <c r="C375" t="s">
        <v>462</v>
      </c>
      <c r="D375">
        <v>90</v>
      </c>
      <c r="E375" t="s">
        <v>20</v>
      </c>
    </row>
    <row r="376" spans="1:5" x14ac:dyDescent="0.35">
      <c r="A376" t="s">
        <v>778</v>
      </c>
      <c r="B376" t="s">
        <v>43</v>
      </c>
      <c r="C376" t="s">
        <v>596</v>
      </c>
      <c r="D376">
        <v>117</v>
      </c>
      <c r="E376" t="s">
        <v>20</v>
      </c>
    </row>
    <row r="377" spans="1:5" x14ac:dyDescent="0.35">
      <c r="A377" t="s">
        <v>779</v>
      </c>
      <c r="B377" t="s">
        <v>6</v>
      </c>
      <c r="C377" t="s">
        <v>780</v>
      </c>
      <c r="D377">
        <v>80</v>
      </c>
      <c r="E377" t="s">
        <v>781</v>
      </c>
    </row>
    <row r="378" spans="1:5" x14ac:dyDescent="0.35">
      <c r="A378" t="s">
        <v>782</v>
      </c>
      <c r="B378" t="s">
        <v>43</v>
      </c>
      <c r="C378" t="s">
        <v>783</v>
      </c>
      <c r="D378">
        <v>87</v>
      </c>
      <c r="E378" t="s">
        <v>20</v>
      </c>
    </row>
    <row r="379" spans="1:5" x14ac:dyDescent="0.35">
      <c r="A379" t="s">
        <v>784</v>
      </c>
      <c r="B379" t="s">
        <v>29</v>
      </c>
      <c r="C379" t="s">
        <v>785</v>
      </c>
      <c r="D379">
        <v>101</v>
      </c>
      <c r="E379" t="s">
        <v>102</v>
      </c>
    </row>
    <row r="380" spans="1:5" x14ac:dyDescent="0.35">
      <c r="A380" t="s">
        <v>786</v>
      </c>
      <c r="B380" t="s">
        <v>6</v>
      </c>
      <c r="C380" t="s">
        <v>683</v>
      </c>
      <c r="D380">
        <v>19</v>
      </c>
      <c r="E380" t="s">
        <v>293</v>
      </c>
    </row>
    <row r="381" spans="1:5" x14ac:dyDescent="0.35">
      <c r="A381" t="s">
        <v>787</v>
      </c>
      <c r="B381" t="s">
        <v>172</v>
      </c>
      <c r="C381" t="s">
        <v>213</v>
      </c>
      <c r="D381">
        <v>106</v>
      </c>
      <c r="E381" t="s">
        <v>20</v>
      </c>
    </row>
    <row r="382" spans="1:5" x14ac:dyDescent="0.35">
      <c r="A382" t="s">
        <v>788</v>
      </c>
      <c r="B382" t="s">
        <v>789</v>
      </c>
      <c r="C382" t="s">
        <v>790</v>
      </c>
      <c r="D382">
        <v>54</v>
      </c>
      <c r="E382" t="s">
        <v>20</v>
      </c>
    </row>
    <row r="383" spans="1:5" x14ac:dyDescent="0.35">
      <c r="A383" t="s">
        <v>791</v>
      </c>
      <c r="B383" t="s">
        <v>43</v>
      </c>
      <c r="C383" t="s">
        <v>792</v>
      </c>
      <c r="D383">
        <v>111</v>
      </c>
      <c r="E383" t="s">
        <v>20</v>
      </c>
    </row>
    <row r="384" spans="1:5" x14ac:dyDescent="0.35">
      <c r="A384" t="s">
        <v>793</v>
      </c>
      <c r="B384" t="s">
        <v>43</v>
      </c>
      <c r="C384" t="s">
        <v>78</v>
      </c>
      <c r="D384">
        <v>132</v>
      </c>
      <c r="E384" t="s">
        <v>45</v>
      </c>
    </row>
    <row r="385" spans="1:5" x14ac:dyDescent="0.35">
      <c r="A385" t="s">
        <v>794</v>
      </c>
      <c r="B385" t="s">
        <v>43</v>
      </c>
      <c r="C385" t="s">
        <v>382</v>
      </c>
      <c r="D385">
        <v>97</v>
      </c>
      <c r="E385" t="s">
        <v>31</v>
      </c>
    </row>
    <row r="386" spans="1:5" x14ac:dyDescent="0.35">
      <c r="A386" t="s">
        <v>795</v>
      </c>
      <c r="B386" t="s">
        <v>6</v>
      </c>
      <c r="C386" t="s">
        <v>796</v>
      </c>
      <c r="D386">
        <v>106</v>
      </c>
      <c r="E386" t="s">
        <v>12</v>
      </c>
    </row>
    <row r="387" spans="1:5" x14ac:dyDescent="0.35">
      <c r="A387" t="s">
        <v>797</v>
      </c>
      <c r="B387" t="s">
        <v>215</v>
      </c>
      <c r="C387" t="s">
        <v>798</v>
      </c>
      <c r="D387">
        <v>111</v>
      </c>
      <c r="E387" t="s">
        <v>20</v>
      </c>
    </row>
    <row r="388" spans="1:5" x14ac:dyDescent="0.35">
      <c r="A388" t="s">
        <v>799</v>
      </c>
      <c r="B388" t="s">
        <v>800</v>
      </c>
      <c r="C388" t="s">
        <v>801</v>
      </c>
      <c r="D388">
        <v>124</v>
      </c>
      <c r="E388" t="s">
        <v>20</v>
      </c>
    </row>
    <row r="389" spans="1:5" x14ac:dyDescent="0.35">
      <c r="A389" t="s">
        <v>802</v>
      </c>
      <c r="B389" t="s">
        <v>6</v>
      </c>
      <c r="C389" t="s">
        <v>803</v>
      </c>
      <c r="D389">
        <v>116</v>
      </c>
      <c r="E389" t="s">
        <v>20</v>
      </c>
    </row>
    <row r="390" spans="1:5" x14ac:dyDescent="0.35">
      <c r="A390" t="s">
        <v>804</v>
      </c>
      <c r="B390" t="s">
        <v>43</v>
      </c>
      <c r="C390" t="s">
        <v>353</v>
      </c>
      <c r="D390">
        <v>112</v>
      </c>
      <c r="E390" t="s">
        <v>24</v>
      </c>
    </row>
    <row r="391" spans="1:5" x14ac:dyDescent="0.35">
      <c r="A391" s="1">
        <v>44764</v>
      </c>
      <c r="B391" t="s">
        <v>43</v>
      </c>
      <c r="C391" t="s">
        <v>805</v>
      </c>
      <c r="D391">
        <v>144</v>
      </c>
      <c r="E391" t="s">
        <v>20</v>
      </c>
    </row>
    <row r="392" spans="1:5" x14ac:dyDescent="0.35">
      <c r="A392" t="s">
        <v>806</v>
      </c>
      <c r="B392" t="s">
        <v>43</v>
      </c>
      <c r="C392" t="s">
        <v>96</v>
      </c>
      <c r="D392">
        <v>76</v>
      </c>
      <c r="E392" t="s">
        <v>12</v>
      </c>
    </row>
    <row r="393" spans="1:5" x14ac:dyDescent="0.35">
      <c r="A393" t="s">
        <v>807</v>
      </c>
      <c r="B393" t="s">
        <v>808</v>
      </c>
      <c r="C393" t="s">
        <v>809</v>
      </c>
      <c r="D393">
        <v>101</v>
      </c>
      <c r="E393" t="s">
        <v>20</v>
      </c>
    </row>
    <row r="394" spans="1:5" x14ac:dyDescent="0.35">
      <c r="A394" t="s">
        <v>810</v>
      </c>
      <c r="B394" t="s">
        <v>6</v>
      </c>
      <c r="C394" t="s">
        <v>467</v>
      </c>
      <c r="D394">
        <v>92</v>
      </c>
      <c r="E394" t="s">
        <v>12</v>
      </c>
    </row>
    <row r="395" spans="1:5" x14ac:dyDescent="0.35">
      <c r="A395" t="s">
        <v>811</v>
      </c>
      <c r="B395" t="s">
        <v>6</v>
      </c>
      <c r="C395" t="s">
        <v>812</v>
      </c>
      <c r="D395">
        <v>19</v>
      </c>
      <c r="E395" t="s">
        <v>20</v>
      </c>
    </row>
    <row r="396" spans="1:5" x14ac:dyDescent="0.35">
      <c r="A396" t="s">
        <v>813</v>
      </c>
      <c r="B396" t="s">
        <v>6</v>
      </c>
      <c r="C396" t="s">
        <v>244</v>
      </c>
      <c r="D396">
        <v>39</v>
      </c>
      <c r="E396" t="s">
        <v>814</v>
      </c>
    </row>
    <row r="397" spans="1:5" x14ac:dyDescent="0.35">
      <c r="A397" t="s">
        <v>815</v>
      </c>
      <c r="B397" t="s">
        <v>47</v>
      </c>
      <c r="C397" t="s">
        <v>697</v>
      </c>
      <c r="D397">
        <v>102</v>
      </c>
      <c r="E397" t="s">
        <v>20</v>
      </c>
    </row>
    <row r="398" spans="1:5" x14ac:dyDescent="0.35">
      <c r="A398" t="s">
        <v>816</v>
      </c>
      <c r="B398" t="s">
        <v>6</v>
      </c>
      <c r="C398" t="s">
        <v>817</v>
      </c>
      <c r="D398">
        <v>89</v>
      </c>
      <c r="E398" t="s">
        <v>20</v>
      </c>
    </row>
    <row r="399" spans="1:5" x14ac:dyDescent="0.35">
      <c r="A399" t="s">
        <v>818</v>
      </c>
      <c r="B399" t="s">
        <v>29</v>
      </c>
      <c r="C399" t="s">
        <v>514</v>
      </c>
      <c r="D399">
        <v>105</v>
      </c>
      <c r="E399" t="s">
        <v>24</v>
      </c>
    </row>
    <row r="400" spans="1:5" x14ac:dyDescent="0.35">
      <c r="A400" t="s">
        <v>819</v>
      </c>
      <c r="B400" t="s">
        <v>10</v>
      </c>
      <c r="C400" t="s">
        <v>422</v>
      </c>
      <c r="D400">
        <v>101</v>
      </c>
      <c r="E400" t="s">
        <v>20</v>
      </c>
    </row>
    <row r="401" spans="1:5" x14ac:dyDescent="0.35">
      <c r="A401" t="s">
        <v>820</v>
      </c>
      <c r="B401" t="s">
        <v>29</v>
      </c>
      <c r="C401" t="s">
        <v>821</v>
      </c>
      <c r="D401">
        <v>70</v>
      </c>
      <c r="E401" t="s">
        <v>20</v>
      </c>
    </row>
    <row r="402" spans="1:5" x14ac:dyDescent="0.35">
      <c r="A402" t="s">
        <v>822</v>
      </c>
      <c r="B402" t="s">
        <v>6</v>
      </c>
      <c r="C402" t="s">
        <v>823</v>
      </c>
      <c r="D402">
        <v>96</v>
      </c>
      <c r="E402" t="s">
        <v>88</v>
      </c>
    </row>
    <row r="403" spans="1:5" x14ac:dyDescent="0.35">
      <c r="A403" t="s">
        <v>824</v>
      </c>
      <c r="B403" t="s">
        <v>6</v>
      </c>
      <c r="C403" t="s">
        <v>825</v>
      </c>
      <c r="D403">
        <v>85</v>
      </c>
      <c r="E403" t="s">
        <v>20</v>
      </c>
    </row>
    <row r="404" spans="1:5" x14ac:dyDescent="0.35">
      <c r="A404" t="s">
        <v>826</v>
      </c>
      <c r="B404" t="s">
        <v>6</v>
      </c>
      <c r="C404" t="s">
        <v>827</v>
      </c>
      <c r="D404">
        <v>39</v>
      </c>
      <c r="E404" t="s">
        <v>20</v>
      </c>
    </row>
    <row r="405" spans="1:5" x14ac:dyDescent="0.35">
      <c r="A405" t="s">
        <v>828</v>
      </c>
      <c r="B405" t="s">
        <v>6</v>
      </c>
      <c r="C405" t="s">
        <v>170</v>
      </c>
      <c r="D405">
        <v>79</v>
      </c>
      <c r="E405" t="s">
        <v>20</v>
      </c>
    </row>
    <row r="406" spans="1:5" x14ac:dyDescent="0.35">
      <c r="A406" t="s">
        <v>829</v>
      </c>
      <c r="B406" t="s">
        <v>6</v>
      </c>
      <c r="C406" t="s">
        <v>830</v>
      </c>
      <c r="D406">
        <v>73</v>
      </c>
      <c r="E406" t="s">
        <v>20</v>
      </c>
    </row>
    <row r="407" spans="1:5" x14ac:dyDescent="0.35">
      <c r="A407" t="s">
        <v>831</v>
      </c>
      <c r="B407" t="s">
        <v>43</v>
      </c>
      <c r="C407" t="s">
        <v>120</v>
      </c>
      <c r="D407">
        <v>114</v>
      </c>
      <c r="E407" t="s">
        <v>24</v>
      </c>
    </row>
    <row r="408" spans="1:5" x14ac:dyDescent="0.35">
      <c r="A408" t="s">
        <v>832</v>
      </c>
      <c r="B408" t="s">
        <v>43</v>
      </c>
      <c r="C408" t="s">
        <v>833</v>
      </c>
      <c r="D408">
        <v>121</v>
      </c>
      <c r="E408" t="s">
        <v>20</v>
      </c>
    </row>
    <row r="409" spans="1:5" x14ac:dyDescent="0.35">
      <c r="A409" t="s">
        <v>834</v>
      </c>
      <c r="B409" t="s">
        <v>180</v>
      </c>
      <c r="C409" t="s">
        <v>833</v>
      </c>
      <c r="D409">
        <v>28</v>
      </c>
      <c r="E409" t="s">
        <v>20</v>
      </c>
    </row>
    <row r="410" spans="1:5" x14ac:dyDescent="0.35">
      <c r="A410" t="s">
        <v>835</v>
      </c>
      <c r="B410" t="s">
        <v>43</v>
      </c>
      <c r="C410" t="s">
        <v>710</v>
      </c>
      <c r="D410">
        <v>95</v>
      </c>
      <c r="E410" t="s">
        <v>16</v>
      </c>
    </row>
    <row r="411" spans="1:5" x14ac:dyDescent="0.35">
      <c r="A411" t="s">
        <v>836</v>
      </c>
      <c r="B411" t="s">
        <v>43</v>
      </c>
      <c r="C411" t="s">
        <v>373</v>
      </c>
      <c r="D411">
        <v>122</v>
      </c>
      <c r="E411" t="s">
        <v>20</v>
      </c>
    </row>
    <row r="412" spans="1:5" x14ac:dyDescent="0.35">
      <c r="A412" t="s">
        <v>837</v>
      </c>
      <c r="B412" t="s">
        <v>6</v>
      </c>
      <c r="C412" t="s">
        <v>681</v>
      </c>
      <c r="D412">
        <v>23</v>
      </c>
      <c r="E412" t="s">
        <v>838</v>
      </c>
    </row>
    <row r="413" spans="1:5" x14ac:dyDescent="0.35">
      <c r="A413" t="s">
        <v>839</v>
      </c>
      <c r="B413" t="s">
        <v>43</v>
      </c>
      <c r="C413" t="s">
        <v>840</v>
      </c>
      <c r="D413">
        <v>107</v>
      </c>
      <c r="E413" t="s">
        <v>20</v>
      </c>
    </row>
    <row r="414" spans="1:5" x14ac:dyDescent="0.35">
      <c r="A414" t="s">
        <v>841</v>
      </c>
      <c r="B414" t="s">
        <v>6</v>
      </c>
      <c r="C414" t="s">
        <v>842</v>
      </c>
      <c r="D414">
        <v>98</v>
      </c>
      <c r="E414" t="s">
        <v>88</v>
      </c>
    </row>
    <row r="415" spans="1:5" x14ac:dyDescent="0.35">
      <c r="A415" t="s">
        <v>843</v>
      </c>
      <c r="B415" t="s">
        <v>10</v>
      </c>
      <c r="C415" t="s">
        <v>844</v>
      </c>
      <c r="D415">
        <v>108</v>
      </c>
      <c r="E415" t="s">
        <v>24</v>
      </c>
    </row>
    <row r="416" spans="1:5" x14ac:dyDescent="0.35">
      <c r="A416" t="s">
        <v>845</v>
      </c>
      <c r="B416" t="s">
        <v>6</v>
      </c>
      <c r="C416" t="s">
        <v>846</v>
      </c>
      <c r="D416">
        <v>92</v>
      </c>
      <c r="E416" t="s">
        <v>20</v>
      </c>
    </row>
    <row r="417" spans="1:5" x14ac:dyDescent="0.35">
      <c r="A417" t="s">
        <v>847</v>
      </c>
      <c r="B417" t="s">
        <v>6</v>
      </c>
      <c r="C417" t="s">
        <v>848</v>
      </c>
      <c r="D417">
        <v>100</v>
      </c>
      <c r="E417" t="s">
        <v>88</v>
      </c>
    </row>
    <row r="418" spans="1:5" x14ac:dyDescent="0.35">
      <c r="A418" t="s">
        <v>849</v>
      </c>
      <c r="B418" t="s">
        <v>6</v>
      </c>
      <c r="C418" t="s">
        <v>850</v>
      </c>
      <c r="D418">
        <v>97</v>
      </c>
      <c r="E418" t="s">
        <v>20</v>
      </c>
    </row>
    <row r="419" spans="1:5" x14ac:dyDescent="0.35">
      <c r="A419" t="s">
        <v>851</v>
      </c>
      <c r="B419" t="s">
        <v>693</v>
      </c>
      <c r="C419" t="s">
        <v>852</v>
      </c>
      <c r="D419">
        <v>7</v>
      </c>
      <c r="E419" t="s">
        <v>20</v>
      </c>
    </row>
    <row r="420" spans="1:5" x14ac:dyDescent="0.35">
      <c r="A420" t="s">
        <v>853</v>
      </c>
      <c r="B420" t="s">
        <v>43</v>
      </c>
      <c r="C420" t="s">
        <v>854</v>
      </c>
      <c r="D420">
        <v>96</v>
      </c>
      <c r="E420" t="s">
        <v>20</v>
      </c>
    </row>
    <row r="421" spans="1:5" x14ac:dyDescent="0.35">
      <c r="A421" t="s">
        <v>855</v>
      </c>
      <c r="B421" t="s">
        <v>6</v>
      </c>
      <c r="C421" t="s">
        <v>856</v>
      </c>
      <c r="D421">
        <v>100</v>
      </c>
      <c r="E421" t="s">
        <v>102</v>
      </c>
    </row>
    <row r="422" spans="1:5" x14ac:dyDescent="0.35">
      <c r="A422" t="s">
        <v>857</v>
      </c>
      <c r="B422" t="s">
        <v>391</v>
      </c>
      <c r="C422" t="s">
        <v>30</v>
      </c>
      <c r="D422">
        <v>132</v>
      </c>
      <c r="E422" t="s">
        <v>20</v>
      </c>
    </row>
    <row r="423" spans="1:5" x14ac:dyDescent="0.35">
      <c r="A423" t="s">
        <v>858</v>
      </c>
      <c r="B423" t="s">
        <v>322</v>
      </c>
      <c r="C423" t="s">
        <v>706</v>
      </c>
      <c r="D423">
        <v>103</v>
      </c>
      <c r="E423" t="s">
        <v>20</v>
      </c>
    </row>
    <row r="424" spans="1:5" x14ac:dyDescent="0.35">
      <c r="A424" t="s">
        <v>859</v>
      </c>
      <c r="B424" t="s">
        <v>860</v>
      </c>
      <c r="C424" t="s">
        <v>861</v>
      </c>
      <c r="D424">
        <v>121</v>
      </c>
      <c r="E424" t="s">
        <v>20</v>
      </c>
    </row>
    <row r="425" spans="1:5" x14ac:dyDescent="0.35">
      <c r="A425" t="s">
        <v>862</v>
      </c>
      <c r="B425" t="s">
        <v>215</v>
      </c>
      <c r="C425" t="s">
        <v>340</v>
      </c>
      <c r="D425">
        <v>114</v>
      </c>
      <c r="E425" t="s">
        <v>24</v>
      </c>
    </row>
    <row r="426" spans="1:5" x14ac:dyDescent="0.35">
      <c r="A426" t="s">
        <v>863</v>
      </c>
      <c r="B426" t="s">
        <v>6</v>
      </c>
      <c r="C426" t="s">
        <v>576</v>
      </c>
      <c r="D426">
        <v>57</v>
      </c>
      <c r="E426" t="s">
        <v>20</v>
      </c>
    </row>
    <row r="427" spans="1:5" x14ac:dyDescent="0.35">
      <c r="A427" t="s">
        <v>864</v>
      </c>
      <c r="B427" t="s">
        <v>6</v>
      </c>
      <c r="C427" t="s">
        <v>681</v>
      </c>
      <c r="D427">
        <v>95</v>
      </c>
      <c r="E427" t="s">
        <v>20</v>
      </c>
    </row>
    <row r="428" spans="1:5" x14ac:dyDescent="0.35">
      <c r="A428" t="s">
        <v>865</v>
      </c>
      <c r="B428" t="s">
        <v>6</v>
      </c>
      <c r="C428" t="s">
        <v>866</v>
      </c>
      <c r="D428">
        <v>83</v>
      </c>
      <c r="E428" t="s">
        <v>20</v>
      </c>
    </row>
    <row r="429" spans="1:5" x14ac:dyDescent="0.35">
      <c r="A429" t="s">
        <v>867</v>
      </c>
      <c r="B429" t="s">
        <v>6</v>
      </c>
      <c r="C429" t="s">
        <v>801</v>
      </c>
      <c r="D429">
        <v>17</v>
      </c>
      <c r="E429" t="s">
        <v>20</v>
      </c>
    </row>
    <row r="430" spans="1:5" x14ac:dyDescent="0.35">
      <c r="A430" t="s">
        <v>868</v>
      </c>
      <c r="B430" t="s">
        <v>322</v>
      </c>
      <c r="C430" t="s">
        <v>130</v>
      </c>
      <c r="D430">
        <v>105</v>
      </c>
      <c r="E430" t="s">
        <v>20</v>
      </c>
    </row>
    <row r="431" spans="1:5" x14ac:dyDescent="0.35">
      <c r="A431" t="s">
        <v>869</v>
      </c>
      <c r="B431" t="s">
        <v>287</v>
      </c>
      <c r="C431" t="s">
        <v>383</v>
      </c>
      <c r="D431">
        <v>131</v>
      </c>
      <c r="E431" t="s">
        <v>20</v>
      </c>
    </row>
    <row r="432" spans="1:5" x14ac:dyDescent="0.35">
      <c r="A432" t="s">
        <v>870</v>
      </c>
      <c r="B432" t="s">
        <v>267</v>
      </c>
      <c r="C432" t="s">
        <v>871</v>
      </c>
      <c r="D432">
        <v>30</v>
      </c>
      <c r="E432" t="s">
        <v>20</v>
      </c>
    </row>
    <row r="433" spans="1:5" x14ac:dyDescent="0.35">
      <c r="A433" t="s">
        <v>872</v>
      </c>
      <c r="B433" t="s">
        <v>215</v>
      </c>
      <c r="C433" t="s">
        <v>612</v>
      </c>
      <c r="D433">
        <v>112</v>
      </c>
      <c r="E433" t="s">
        <v>20</v>
      </c>
    </row>
    <row r="434" spans="1:5" x14ac:dyDescent="0.35">
      <c r="A434" t="s">
        <v>873</v>
      </c>
      <c r="B434" t="s">
        <v>6</v>
      </c>
      <c r="C434" t="s">
        <v>576</v>
      </c>
      <c r="D434">
        <v>86</v>
      </c>
      <c r="E434" t="s">
        <v>20</v>
      </c>
    </row>
    <row r="435" spans="1:5" x14ac:dyDescent="0.35">
      <c r="A435" t="s">
        <v>874</v>
      </c>
      <c r="B435" t="s">
        <v>6</v>
      </c>
      <c r="C435" t="s">
        <v>875</v>
      </c>
      <c r="D435">
        <v>100</v>
      </c>
      <c r="E435" t="s">
        <v>20</v>
      </c>
    </row>
    <row r="436" spans="1:5" x14ac:dyDescent="0.35">
      <c r="A436" t="s">
        <v>876</v>
      </c>
      <c r="B436" t="s">
        <v>180</v>
      </c>
      <c r="C436" t="s">
        <v>877</v>
      </c>
      <c r="D436">
        <v>14</v>
      </c>
      <c r="E436" t="s">
        <v>20</v>
      </c>
    </row>
    <row r="437" spans="1:5" x14ac:dyDescent="0.35">
      <c r="A437" t="s">
        <v>878</v>
      </c>
      <c r="B437" t="s">
        <v>6</v>
      </c>
      <c r="C437" t="s">
        <v>612</v>
      </c>
      <c r="D437">
        <v>109</v>
      </c>
      <c r="E437" t="s">
        <v>20</v>
      </c>
    </row>
    <row r="438" spans="1:5" x14ac:dyDescent="0.35">
      <c r="A438" t="s">
        <v>879</v>
      </c>
      <c r="B438" t="s">
        <v>6</v>
      </c>
      <c r="C438" t="s">
        <v>766</v>
      </c>
      <c r="D438">
        <v>28</v>
      </c>
      <c r="E438" t="s">
        <v>12</v>
      </c>
    </row>
    <row r="439" spans="1:5" x14ac:dyDescent="0.35">
      <c r="A439" t="s">
        <v>880</v>
      </c>
      <c r="B439" t="s">
        <v>6</v>
      </c>
      <c r="C439" t="s">
        <v>881</v>
      </c>
      <c r="D439">
        <v>64</v>
      </c>
      <c r="E439" t="s">
        <v>12</v>
      </c>
    </row>
    <row r="440" spans="1:5" x14ac:dyDescent="0.35">
      <c r="A440" t="s">
        <v>882</v>
      </c>
      <c r="B440" t="s">
        <v>43</v>
      </c>
      <c r="C440" t="s">
        <v>883</v>
      </c>
      <c r="D440">
        <v>94</v>
      </c>
      <c r="E440" t="s">
        <v>20</v>
      </c>
    </row>
    <row r="441" spans="1:5" x14ac:dyDescent="0.35">
      <c r="A441" t="s">
        <v>884</v>
      </c>
      <c r="B441" t="s">
        <v>180</v>
      </c>
      <c r="C441" t="s">
        <v>883</v>
      </c>
      <c r="D441">
        <v>31</v>
      </c>
      <c r="E441" t="s">
        <v>20</v>
      </c>
    </row>
    <row r="442" spans="1:5" x14ac:dyDescent="0.35">
      <c r="A442" t="s">
        <v>885</v>
      </c>
      <c r="B442" t="s">
        <v>6</v>
      </c>
      <c r="C442" t="s">
        <v>886</v>
      </c>
      <c r="D442">
        <v>99</v>
      </c>
      <c r="E442" t="s">
        <v>20</v>
      </c>
    </row>
    <row r="443" spans="1:5" x14ac:dyDescent="0.35">
      <c r="A443" t="s">
        <v>887</v>
      </c>
      <c r="B443" t="s">
        <v>6</v>
      </c>
      <c r="C443" t="s">
        <v>888</v>
      </c>
      <c r="D443">
        <v>108</v>
      </c>
      <c r="E443" t="s">
        <v>20</v>
      </c>
    </row>
    <row r="444" spans="1:5" x14ac:dyDescent="0.35">
      <c r="A444" t="s">
        <v>889</v>
      </c>
      <c r="B444" t="s">
        <v>6</v>
      </c>
      <c r="C444" t="s">
        <v>890</v>
      </c>
      <c r="D444">
        <v>48</v>
      </c>
      <c r="E444" t="s">
        <v>20</v>
      </c>
    </row>
    <row r="445" spans="1:5" x14ac:dyDescent="0.35">
      <c r="A445" t="s">
        <v>891</v>
      </c>
      <c r="B445" t="s">
        <v>6</v>
      </c>
      <c r="C445" t="s">
        <v>208</v>
      </c>
      <c r="D445">
        <v>84</v>
      </c>
      <c r="E445" t="s">
        <v>20</v>
      </c>
    </row>
    <row r="446" spans="1:5" x14ac:dyDescent="0.35">
      <c r="A446" t="s">
        <v>892</v>
      </c>
      <c r="B446" t="s">
        <v>6</v>
      </c>
      <c r="C446" t="s">
        <v>893</v>
      </c>
      <c r="D446">
        <v>70</v>
      </c>
      <c r="E446" t="s">
        <v>20</v>
      </c>
    </row>
    <row r="447" spans="1:5" x14ac:dyDescent="0.35">
      <c r="A447" t="s">
        <v>894</v>
      </c>
      <c r="B447" t="s">
        <v>6</v>
      </c>
      <c r="C447" t="s">
        <v>362</v>
      </c>
      <c r="D447">
        <v>27</v>
      </c>
      <c r="E447" t="s">
        <v>20</v>
      </c>
    </row>
    <row r="448" spans="1:5" x14ac:dyDescent="0.35">
      <c r="A448" t="s">
        <v>895</v>
      </c>
      <c r="B448" t="s">
        <v>896</v>
      </c>
      <c r="C448" t="s">
        <v>475</v>
      </c>
      <c r="D448">
        <v>45</v>
      </c>
      <c r="E448" t="s">
        <v>20</v>
      </c>
    </row>
    <row r="449" spans="1:5" x14ac:dyDescent="0.35">
      <c r="A449" t="s">
        <v>897</v>
      </c>
      <c r="B449" t="s">
        <v>29</v>
      </c>
      <c r="C449" t="s">
        <v>898</v>
      </c>
      <c r="D449">
        <v>117</v>
      </c>
      <c r="E449" t="s">
        <v>16</v>
      </c>
    </row>
    <row r="450" spans="1:5" x14ac:dyDescent="0.35">
      <c r="A450" t="s">
        <v>899</v>
      </c>
      <c r="B450" t="s">
        <v>900</v>
      </c>
      <c r="C450" t="s">
        <v>901</v>
      </c>
      <c r="D450">
        <v>104</v>
      </c>
      <c r="E450" t="s">
        <v>20</v>
      </c>
    </row>
    <row r="451" spans="1:5" x14ac:dyDescent="0.35">
      <c r="A451" t="s">
        <v>902</v>
      </c>
      <c r="B451" t="s">
        <v>391</v>
      </c>
      <c r="C451" t="s">
        <v>893</v>
      </c>
      <c r="D451">
        <v>108</v>
      </c>
      <c r="E451" t="s">
        <v>20</v>
      </c>
    </row>
    <row r="452" spans="1:5" x14ac:dyDescent="0.35">
      <c r="A452" t="s">
        <v>903</v>
      </c>
      <c r="B452" t="s">
        <v>153</v>
      </c>
      <c r="C452" t="s">
        <v>904</v>
      </c>
      <c r="D452">
        <v>121</v>
      </c>
      <c r="E452" t="s">
        <v>49</v>
      </c>
    </row>
    <row r="453" spans="1:5" x14ac:dyDescent="0.35">
      <c r="A453" t="s">
        <v>905</v>
      </c>
      <c r="B453" t="s">
        <v>180</v>
      </c>
      <c r="C453" t="s">
        <v>906</v>
      </c>
      <c r="D453">
        <v>36</v>
      </c>
      <c r="E453" t="s">
        <v>20</v>
      </c>
    </row>
    <row r="454" spans="1:5" x14ac:dyDescent="0.35">
      <c r="A454" t="s">
        <v>907</v>
      </c>
      <c r="B454" t="s">
        <v>175</v>
      </c>
      <c r="C454" t="s">
        <v>220</v>
      </c>
      <c r="D454">
        <v>30</v>
      </c>
      <c r="E454" t="s">
        <v>20</v>
      </c>
    </row>
    <row r="455" spans="1:5" x14ac:dyDescent="0.35">
      <c r="A455" t="s">
        <v>908</v>
      </c>
      <c r="B455" t="s">
        <v>175</v>
      </c>
      <c r="C455" t="s">
        <v>909</v>
      </c>
      <c r="D455">
        <v>47</v>
      </c>
      <c r="E455" t="s">
        <v>20</v>
      </c>
    </row>
    <row r="456" spans="1:5" x14ac:dyDescent="0.35">
      <c r="A456" t="s">
        <v>910</v>
      </c>
      <c r="B456" t="s">
        <v>43</v>
      </c>
      <c r="C456" t="s">
        <v>911</v>
      </c>
      <c r="D456">
        <v>110</v>
      </c>
      <c r="E456" t="s">
        <v>20</v>
      </c>
    </row>
    <row r="457" spans="1:5" x14ac:dyDescent="0.35">
      <c r="A457" t="s">
        <v>912</v>
      </c>
      <c r="B457" t="s">
        <v>6</v>
      </c>
      <c r="C457" t="s">
        <v>672</v>
      </c>
      <c r="D457">
        <v>92</v>
      </c>
      <c r="E457" t="s">
        <v>20</v>
      </c>
    </row>
    <row r="458" spans="1:5" x14ac:dyDescent="0.35">
      <c r="A458" t="s">
        <v>913</v>
      </c>
      <c r="B458" t="s">
        <v>6</v>
      </c>
      <c r="C458" t="s">
        <v>44</v>
      </c>
      <c r="D458">
        <v>80</v>
      </c>
      <c r="E458" t="s">
        <v>20</v>
      </c>
    </row>
    <row r="459" spans="1:5" x14ac:dyDescent="0.35">
      <c r="A459" t="s">
        <v>914</v>
      </c>
      <c r="B459" t="s">
        <v>915</v>
      </c>
      <c r="C459" t="s">
        <v>904</v>
      </c>
      <c r="D459">
        <v>49</v>
      </c>
      <c r="E459" t="s">
        <v>20</v>
      </c>
    </row>
    <row r="460" spans="1:5" x14ac:dyDescent="0.35">
      <c r="A460" t="s">
        <v>916</v>
      </c>
      <c r="B460" t="s">
        <v>6</v>
      </c>
      <c r="C460" t="s">
        <v>917</v>
      </c>
      <c r="D460">
        <v>73</v>
      </c>
      <c r="E460" t="s">
        <v>12</v>
      </c>
    </row>
    <row r="461" spans="1:5" x14ac:dyDescent="0.35">
      <c r="A461" t="s">
        <v>918</v>
      </c>
      <c r="B461" t="s">
        <v>6</v>
      </c>
      <c r="C461" t="s">
        <v>471</v>
      </c>
      <c r="D461">
        <v>40</v>
      </c>
      <c r="E461" t="s">
        <v>20</v>
      </c>
    </row>
    <row r="462" spans="1:5" x14ac:dyDescent="0.35">
      <c r="A462" t="s">
        <v>919</v>
      </c>
      <c r="B462" t="s">
        <v>6</v>
      </c>
      <c r="C462" t="s">
        <v>920</v>
      </c>
      <c r="D462">
        <v>96</v>
      </c>
      <c r="E462" t="s">
        <v>20</v>
      </c>
    </row>
    <row r="463" spans="1:5" x14ac:dyDescent="0.35">
      <c r="A463" t="s">
        <v>921</v>
      </c>
      <c r="B463" t="s">
        <v>287</v>
      </c>
      <c r="C463" t="s">
        <v>376</v>
      </c>
      <c r="D463">
        <v>106</v>
      </c>
      <c r="E463" t="s">
        <v>83</v>
      </c>
    </row>
    <row r="464" spans="1:5" x14ac:dyDescent="0.35">
      <c r="A464" t="s">
        <v>922</v>
      </c>
      <c r="B464" t="s">
        <v>6</v>
      </c>
      <c r="C464" t="s">
        <v>923</v>
      </c>
      <c r="D464">
        <v>97</v>
      </c>
      <c r="E464" t="s">
        <v>20</v>
      </c>
    </row>
    <row r="465" spans="1:5" x14ac:dyDescent="0.35">
      <c r="A465" t="s">
        <v>924</v>
      </c>
      <c r="B465" t="s">
        <v>6</v>
      </c>
      <c r="C465" t="s">
        <v>325</v>
      </c>
      <c r="D465">
        <v>94</v>
      </c>
      <c r="E465" t="s">
        <v>12</v>
      </c>
    </row>
    <row r="466" spans="1:5" x14ac:dyDescent="0.35">
      <c r="A466" t="s">
        <v>925</v>
      </c>
      <c r="B466" t="s">
        <v>6</v>
      </c>
      <c r="C466" t="s">
        <v>495</v>
      </c>
      <c r="D466">
        <v>78</v>
      </c>
      <c r="E466" t="s">
        <v>20</v>
      </c>
    </row>
    <row r="467" spans="1:5" x14ac:dyDescent="0.35">
      <c r="A467" t="s">
        <v>926</v>
      </c>
      <c r="B467" t="s">
        <v>6</v>
      </c>
      <c r="C467" t="s">
        <v>927</v>
      </c>
      <c r="D467">
        <v>81</v>
      </c>
      <c r="E467" t="s">
        <v>20</v>
      </c>
    </row>
    <row r="468" spans="1:5" x14ac:dyDescent="0.35">
      <c r="A468" t="s">
        <v>928</v>
      </c>
      <c r="B468" t="s">
        <v>6</v>
      </c>
      <c r="C468" t="s">
        <v>929</v>
      </c>
      <c r="D468">
        <v>87</v>
      </c>
      <c r="E468" t="s">
        <v>20</v>
      </c>
    </row>
    <row r="469" spans="1:5" x14ac:dyDescent="0.35">
      <c r="A469" t="s">
        <v>930</v>
      </c>
      <c r="B469" t="s">
        <v>414</v>
      </c>
      <c r="C469" t="s">
        <v>931</v>
      </c>
      <c r="D469">
        <v>91</v>
      </c>
      <c r="E469" t="s">
        <v>20</v>
      </c>
    </row>
    <row r="470" spans="1:5" x14ac:dyDescent="0.35">
      <c r="A470" t="s">
        <v>932</v>
      </c>
      <c r="B470" t="s">
        <v>6</v>
      </c>
      <c r="C470" t="s">
        <v>521</v>
      </c>
      <c r="D470">
        <v>91</v>
      </c>
      <c r="E470" t="s">
        <v>20</v>
      </c>
    </row>
    <row r="471" spans="1:5" x14ac:dyDescent="0.35">
      <c r="A471" t="s">
        <v>933</v>
      </c>
      <c r="B471" t="s">
        <v>6</v>
      </c>
      <c r="C471" t="s">
        <v>570</v>
      </c>
      <c r="D471">
        <v>95</v>
      </c>
      <c r="E471" t="s">
        <v>20</v>
      </c>
    </row>
    <row r="472" spans="1:5" x14ac:dyDescent="0.35">
      <c r="A472" t="s">
        <v>934</v>
      </c>
      <c r="B472" t="s">
        <v>43</v>
      </c>
      <c r="C472" t="s">
        <v>935</v>
      </c>
      <c r="D472">
        <v>126</v>
      </c>
      <c r="E472" t="s">
        <v>20</v>
      </c>
    </row>
    <row r="473" spans="1:5" x14ac:dyDescent="0.35">
      <c r="A473" t="s">
        <v>936</v>
      </c>
      <c r="B473" t="s">
        <v>6</v>
      </c>
      <c r="C473" t="s">
        <v>438</v>
      </c>
      <c r="D473">
        <v>31</v>
      </c>
      <c r="E473" t="s">
        <v>20</v>
      </c>
    </row>
    <row r="474" spans="1:5" x14ac:dyDescent="0.35">
      <c r="A474" t="s">
        <v>937</v>
      </c>
      <c r="B474" t="s">
        <v>6</v>
      </c>
      <c r="C474" t="s">
        <v>373</v>
      </c>
      <c r="D474">
        <v>58</v>
      </c>
      <c r="E474" t="s">
        <v>20</v>
      </c>
    </row>
    <row r="475" spans="1:5" x14ac:dyDescent="0.35">
      <c r="A475" t="s">
        <v>938</v>
      </c>
      <c r="B475" t="s">
        <v>6</v>
      </c>
      <c r="C475" t="s">
        <v>156</v>
      </c>
      <c r="D475">
        <v>41</v>
      </c>
      <c r="E475" t="s">
        <v>939</v>
      </c>
    </row>
    <row r="476" spans="1:5" x14ac:dyDescent="0.35">
      <c r="A476" t="s">
        <v>940</v>
      </c>
      <c r="B476" t="s">
        <v>375</v>
      </c>
      <c r="C476" t="s">
        <v>332</v>
      </c>
      <c r="D476">
        <v>138</v>
      </c>
      <c r="E476" t="s">
        <v>20</v>
      </c>
    </row>
    <row r="477" spans="1:5" x14ac:dyDescent="0.35">
      <c r="A477" t="s">
        <v>941</v>
      </c>
      <c r="B477" t="s">
        <v>43</v>
      </c>
      <c r="C477" t="s">
        <v>506</v>
      </c>
      <c r="D477">
        <v>112</v>
      </c>
      <c r="E477" t="s">
        <v>20</v>
      </c>
    </row>
    <row r="478" spans="1:5" x14ac:dyDescent="0.35">
      <c r="A478" t="s">
        <v>942</v>
      </c>
      <c r="B478" t="s">
        <v>6</v>
      </c>
      <c r="C478" t="s">
        <v>943</v>
      </c>
      <c r="D478">
        <v>114</v>
      </c>
      <c r="E478" t="s">
        <v>20</v>
      </c>
    </row>
    <row r="479" spans="1:5" x14ac:dyDescent="0.35">
      <c r="A479" t="s">
        <v>944</v>
      </c>
      <c r="B479" t="s">
        <v>43</v>
      </c>
      <c r="C479" t="s">
        <v>945</v>
      </c>
      <c r="D479">
        <v>125</v>
      </c>
      <c r="E479" t="s">
        <v>20</v>
      </c>
    </row>
    <row r="480" spans="1:5" x14ac:dyDescent="0.35">
      <c r="A480" t="s">
        <v>946</v>
      </c>
      <c r="B480" t="s">
        <v>47</v>
      </c>
      <c r="C480" t="s">
        <v>947</v>
      </c>
      <c r="D480">
        <v>99</v>
      </c>
      <c r="E480" t="s">
        <v>20</v>
      </c>
    </row>
    <row r="481" spans="1:5" x14ac:dyDescent="0.35">
      <c r="A481" t="s">
        <v>948</v>
      </c>
      <c r="B481" t="s">
        <v>6</v>
      </c>
      <c r="C481" t="s">
        <v>833</v>
      </c>
      <c r="D481">
        <v>82</v>
      </c>
      <c r="E481" t="s">
        <v>20</v>
      </c>
    </row>
    <row r="482" spans="1:5" x14ac:dyDescent="0.35">
      <c r="A482" t="s">
        <v>949</v>
      </c>
      <c r="B482" t="s">
        <v>6</v>
      </c>
      <c r="C482" t="s">
        <v>950</v>
      </c>
      <c r="D482">
        <v>98</v>
      </c>
      <c r="E482" t="s">
        <v>20</v>
      </c>
    </row>
    <row r="483" spans="1:5" x14ac:dyDescent="0.35">
      <c r="A483" t="s">
        <v>951</v>
      </c>
      <c r="B483" t="s">
        <v>43</v>
      </c>
      <c r="C483" t="s">
        <v>952</v>
      </c>
      <c r="D483">
        <v>136</v>
      </c>
      <c r="E483" t="s">
        <v>953</v>
      </c>
    </row>
    <row r="484" spans="1:5" x14ac:dyDescent="0.35">
      <c r="A484" t="s">
        <v>954</v>
      </c>
      <c r="B484" t="s">
        <v>6</v>
      </c>
      <c r="C484" t="s">
        <v>113</v>
      </c>
      <c r="D484">
        <v>97</v>
      </c>
      <c r="E484" t="s">
        <v>20</v>
      </c>
    </row>
    <row r="485" spans="1:5" x14ac:dyDescent="0.35">
      <c r="A485" t="s">
        <v>955</v>
      </c>
      <c r="B485" t="s">
        <v>6</v>
      </c>
      <c r="C485" t="s">
        <v>96</v>
      </c>
      <c r="D485">
        <v>107</v>
      </c>
      <c r="E485" t="s">
        <v>20</v>
      </c>
    </row>
    <row r="486" spans="1:5" x14ac:dyDescent="0.35">
      <c r="A486" t="s">
        <v>956</v>
      </c>
      <c r="B486" t="s">
        <v>6</v>
      </c>
      <c r="C486" t="s">
        <v>137</v>
      </c>
      <c r="D486">
        <v>92</v>
      </c>
      <c r="E486" t="s">
        <v>20</v>
      </c>
    </row>
    <row r="487" spans="1:5" x14ac:dyDescent="0.35">
      <c r="A487" t="s">
        <v>957</v>
      </c>
      <c r="B487" t="s">
        <v>6</v>
      </c>
      <c r="C487" t="s">
        <v>958</v>
      </c>
      <c r="D487">
        <v>39</v>
      </c>
      <c r="E487" t="s">
        <v>959</v>
      </c>
    </row>
    <row r="488" spans="1:5" x14ac:dyDescent="0.35">
      <c r="A488" t="s">
        <v>960</v>
      </c>
      <c r="B488" t="s">
        <v>47</v>
      </c>
      <c r="C488" t="s">
        <v>961</v>
      </c>
      <c r="D488">
        <v>133</v>
      </c>
      <c r="E488" t="s">
        <v>24</v>
      </c>
    </row>
    <row r="489" spans="1:5" x14ac:dyDescent="0.35">
      <c r="A489" t="s">
        <v>962</v>
      </c>
      <c r="B489" t="s">
        <v>963</v>
      </c>
      <c r="C489" t="s">
        <v>99</v>
      </c>
      <c r="D489">
        <v>89</v>
      </c>
      <c r="E489" t="s">
        <v>20</v>
      </c>
    </row>
    <row r="490" spans="1:5" x14ac:dyDescent="0.35">
      <c r="A490" t="s">
        <v>964</v>
      </c>
      <c r="B490" t="s">
        <v>43</v>
      </c>
      <c r="C490" t="s">
        <v>965</v>
      </c>
      <c r="D490">
        <v>124</v>
      </c>
      <c r="E490" t="s">
        <v>20</v>
      </c>
    </row>
    <row r="491" spans="1:5" x14ac:dyDescent="0.35">
      <c r="A491" t="s">
        <v>966</v>
      </c>
      <c r="B491" t="s">
        <v>967</v>
      </c>
      <c r="C491" t="s">
        <v>353</v>
      </c>
      <c r="D491">
        <v>99</v>
      </c>
      <c r="E491" t="s">
        <v>12</v>
      </c>
    </row>
    <row r="492" spans="1:5" x14ac:dyDescent="0.35">
      <c r="A492" t="s">
        <v>968</v>
      </c>
      <c r="B492" t="s">
        <v>43</v>
      </c>
      <c r="C492" t="s">
        <v>969</v>
      </c>
      <c r="D492">
        <v>101</v>
      </c>
      <c r="E492" t="s">
        <v>970</v>
      </c>
    </row>
    <row r="493" spans="1:5" x14ac:dyDescent="0.35">
      <c r="A493" t="s">
        <v>971</v>
      </c>
      <c r="B493" t="s">
        <v>287</v>
      </c>
      <c r="C493" t="s">
        <v>113</v>
      </c>
      <c r="D493">
        <v>97</v>
      </c>
      <c r="E493" t="s">
        <v>24</v>
      </c>
    </row>
    <row r="494" spans="1:5" x14ac:dyDescent="0.35">
      <c r="A494" t="s">
        <v>972</v>
      </c>
      <c r="B494" t="s">
        <v>29</v>
      </c>
      <c r="C494" t="s">
        <v>355</v>
      </c>
      <c r="D494">
        <v>124</v>
      </c>
      <c r="E494" t="s">
        <v>20</v>
      </c>
    </row>
    <row r="495" spans="1:5" x14ac:dyDescent="0.35">
      <c r="A495" t="s">
        <v>973</v>
      </c>
      <c r="B495" t="s">
        <v>43</v>
      </c>
      <c r="C495" t="s">
        <v>974</v>
      </c>
      <c r="D495">
        <v>129</v>
      </c>
      <c r="E495" t="s">
        <v>190</v>
      </c>
    </row>
    <row r="496" spans="1:5" x14ac:dyDescent="0.35">
      <c r="A496" t="s">
        <v>975</v>
      </c>
      <c r="B496" t="s">
        <v>6</v>
      </c>
      <c r="C496" t="s">
        <v>911</v>
      </c>
      <c r="D496">
        <v>121</v>
      </c>
      <c r="E496" t="s">
        <v>102</v>
      </c>
    </row>
    <row r="497" spans="1:5" x14ac:dyDescent="0.35">
      <c r="A497" t="s">
        <v>976</v>
      </c>
      <c r="B497" t="s">
        <v>977</v>
      </c>
      <c r="C497" t="s">
        <v>27</v>
      </c>
      <c r="D497">
        <v>140</v>
      </c>
      <c r="E497" t="s">
        <v>20</v>
      </c>
    </row>
    <row r="498" spans="1:5" x14ac:dyDescent="0.35">
      <c r="A498" t="s">
        <v>978</v>
      </c>
      <c r="B498" t="s">
        <v>979</v>
      </c>
      <c r="C498" t="s">
        <v>980</v>
      </c>
      <c r="D498">
        <v>13</v>
      </c>
      <c r="E498" t="s">
        <v>20</v>
      </c>
    </row>
    <row r="499" spans="1:5" x14ac:dyDescent="0.35">
      <c r="A499" t="s">
        <v>981</v>
      </c>
      <c r="B499" t="s">
        <v>602</v>
      </c>
      <c r="C499" t="s">
        <v>982</v>
      </c>
      <c r="D499">
        <v>108</v>
      </c>
      <c r="E499" t="s">
        <v>20</v>
      </c>
    </row>
    <row r="500" spans="1:5" x14ac:dyDescent="0.35">
      <c r="A500" t="s">
        <v>983</v>
      </c>
      <c r="B500" t="s">
        <v>6</v>
      </c>
      <c r="C500" t="s">
        <v>304</v>
      </c>
      <c r="D500">
        <v>11</v>
      </c>
      <c r="E500" t="s">
        <v>20</v>
      </c>
    </row>
    <row r="501" spans="1:5" x14ac:dyDescent="0.35">
      <c r="A501" t="s">
        <v>984</v>
      </c>
      <c r="B501" t="s">
        <v>391</v>
      </c>
      <c r="C501" t="s">
        <v>104</v>
      </c>
      <c r="D501">
        <v>118</v>
      </c>
      <c r="E501" t="s">
        <v>20</v>
      </c>
    </row>
    <row r="502" spans="1:5" x14ac:dyDescent="0.35">
      <c r="A502" t="s">
        <v>985</v>
      </c>
      <c r="B502" t="s">
        <v>287</v>
      </c>
      <c r="C502" t="s">
        <v>616</v>
      </c>
      <c r="D502">
        <v>121</v>
      </c>
      <c r="E502" t="s">
        <v>20</v>
      </c>
    </row>
    <row r="503" spans="1:5" x14ac:dyDescent="0.35">
      <c r="A503" t="s">
        <v>986</v>
      </c>
      <c r="B503" t="s">
        <v>6</v>
      </c>
      <c r="C503" t="s">
        <v>987</v>
      </c>
      <c r="D503">
        <v>24</v>
      </c>
      <c r="E503" t="s">
        <v>20</v>
      </c>
    </row>
    <row r="504" spans="1:5" x14ac:dyDescent="0.35">
      <c r="A504" t="s">
        <v>988</v>
      </c>
      <c r="B504" t="s">
        <v>6</v>
      </c>
      <c r="C504" t="s">
        <v>989</v>
      </c>
      <c r="D504">
        <v>100</v>
      </c>
      <c r="E504" t="s">
        <v>20</v>
      </c>
    </row>
    <row r="505" spans="1:5" x14ac:dyDescent="0.35">
      <c r="A505" t="s">
        <v>990</v>
      </c>
      <c r="B505" t="s">
        <v>6</v>
      </c>
      <c r="C505" t="s">
        <v>991</v>
      </c>
      <c r="D505">
        <v>101</v>
      </c>
      <c r="E505" t="s">
        <v>20</v>
      </c>
    </row>
    <row r="506" spans="1:5" x14ac:dyDescent="0.35">
      <c r="A506" t="s">
        <v>992</v>
      </c>
      <c r="B506" t="s">
        <v>43</v>
      </c>
      <c r="C506" t="s">
        <v>993</v>
      </c>
      <c r="D506">
        <v>105</v>
      </c>
      <c r="E506" t="s">
        <v>12</v>
      </c>
    </row>
    <row r="507" spans="1:5" x14ac:dyDescent="0.35">
      <c r="A507" t="s">
        <v>994</v>
      </c>
      <c r="B507" t="s">
        <v>6</v>
      </c>
      <c r="C507" t="s">
        <v>995</v>
      </c>
      <c r="D507">
        <v>96</v>
      </c>
      <c r="E507" t="s">
        <v>996</v>
      </c>
    </row>
    <row r="508" spans="1:5" x14ac:dyDescent="0.35">
      <c r="A508" t="s">
        <v>997</v>
      </c>
      <c r="B508" t="s">
        <v>175</v>
      </c>
      <c r="C508" t="s">
        <v>998</v>
      </c>
      <c r="D508">
        <v>47</v>
      </c>
      <c r="E508" t="s">
        <v>20</v>
      </c>
    </row>
    <row r="509" spans="1:5" x14ac:dyDescent="0.35">
      <c r="A509" t="s">
        <v>999</v>
      </c>
      <c r="B509" t="s">
        <v>1000</v>
      </c>
      <c r="C509" t="s">
        <v>1001</v>
      </c>
      <c r="D509">
        <v>121</v>
      </c>
      <c r="E509" t="s">
        <v>1002</v>
      </c>
    </row>
    <row r="510" spans="1:5" x14ac:dyDescent="0.35">
      <c r="A510" t="s">
        <v>1003</v>
      </c>
      <c r="B510" t="s">
        <v>287</v>
      </c>
      <c r="C510" t="s">
        <v>1004</v>
      </c>
      <c r="D510">
        <v>100</v>
      </c>
      <c r="E510" t="s">
        <v>16</v>
      </c>
    </row>
    <row r="511" spans="1:5" x14ac:dyDescent="0.35">
      <c r="A511" t="s">
        <v>1005</v>
      </c>
      <c r="B511" t="s">
        <v>10</v>
      </c>
      <c r="C511" t="s">
        <v>85</v>
      </c>
      <c r="D511">
        <v>149</v>
      </c>
      <c r="E511" t="s">
        <v>24</v>
      </c>
    </row>
    <row r="512" spans="1:5" x14ac:dyDescent="0.35">
      <c r="A512" t="s">
        <v>1006</v>
      </c>
      <c r="B512" t="s">
        <v>6</v>
      </c>
      <c r="C512" t="s">
        <v>327</v>
      </c>
      <c r="D512">
        <v>64</v>
      </c>
      <c r="E512" t="s">
        <v>93</v>
      </c>
    </row>
    <row r="513" spans="1:5" x14ac:dyDescent="0.35">
      <c r="A513" t="s">
        <v>1007</v>
      </c>
      <c r="B513" t="s">
        <v>6</v>
      </c>
      <c r="C513" t="s">
        <v>281</v>
      </c>
      <c r="D513">
        <v>64</v>
      </c>
      <c r="E513" t="s">
        <v>20</v>
      </c>
    </row>
    <row r="514" spans="1:5" x14ac:dyDescent="0.35">
      <c r="A514" t="s">
        <v>1008</v>
      </c>
      <c r="B514" t="s">
        <v>6</v>
      </c>
      <c r="C514" t="s">
        <v>132</v>
      </c>
      <c r="D514">
        <v>114</v>
      </c>
      <c r="E514" t="s">
        <v>1009</v>
      </c>
    </row>
    <row r="515" spans="1:5" x14ac:dyDescent="0.35">
      <c r="A515" t="s">
        <v>1010</v>
      </c>
      <c r="B515" t="s">
        <v>693</v>
      </c>
      <c r="C515" t="s">
        <v>1011</v>
      </c>
      <c r="D515">
        <v>15</v>
      </c>
      <c r="E515" t="s">
        <v>20</v>
      </c>
    </row>
    <row r="516" spans="1:5" x14ac:dyDescent="0.35">
      <c r="A516" t="s">
        <v>1012</v>
      </c>
      <c r="B516" t="s">
        <v>6</v>
      </c>
      <c r="C516" t="s">
        <v>1013</v>
      </c>
      <c r="D516">
        <v>79</v>
      </c>
      <c r="E516" t="s">
        <v>814</v>
      </c>
    </row>
    <row r="517" spans="1:5" x14ac:dyDescent="0.35">
      <c r="A517" t="s">
        <v>1014</v>
      </c>
      <c r="B517" t="s">
        <v>6</v>
      </c>
      <c r="C517" t="s">
        <v>420</v>
      </c>
      <c r="D517">
        <v>90</v>
      </c>
      <c r="E517" t="s">
        <v>1015</v>
      </c>
    </row>
    <row r="518" spans="1:5" x14ac:dyDescent="0.35">
      <c r="A518" t="s">
        <v>1016</v>
      </c>
      <c r="B518" t="s">
        <v>139</v>
      </c>
      <c r="C518" t="s">
        <v>448</v>
      </c>
      <c r="D518">
        <v>132</v>
      </c>
      <c r="E518" t="s">
        <v>20</v>
      </c>
    </row>
    <row r="519" spans="1:5" x14ac:dyDescent="0.35">
      <c r="A519" t="s">
        <v>1017</v>
      </c>
      <c r="B519" t="s">
        <v>6</v>
      </c>
      <c r="C519" t="s">
        <v>1018</v>
      </c>
      <c r="D519">
        <v>105</v>
      </c>
      <c r="E519" t="s">
        <v>20</v>
      </c>
    </row>
    <row r="520" spans="1:5" x14ac:dyDescent="0.35">
      <c r="A520" t="s">
        <v>1019</v>
      </c>
      <c r="B520" t="s">
        <v>215</v>
      </c>
      <c r="C520" t="s">
        <v>1020</v>
      </c>
      <c r="D520">
        <v>97</v>
      </c>
      <c r="E520" t="s">
        <v>20</v>
      </c>
    </row>
    <row r="521" spans="1:5" x14ac:dyDescent="0.35">
      <c r="A521" t="s">
        <v>1021</v>
      </c>
      <c r="B521" t="s">
        <v>6</v>
      </c>
      <c r="C521" t="s">
        <v>1022</v>
      </c>
      <c r="D521">
        <v>83</v>
      </c>
      <c r="E521" t="s">
        <v>20</v>
      </c>
    </row>
    <row r="522" spans="1:5" x14ac:dyDescent="0.35">
      <c r="A522" t="s">
        <v>1023</v>
      </c>
      <c r="B522" t="s">
        <v>6</v>
      </c>
      <c r="C522" t="s">
        <v>181</v>
      </c>
      <c r="D522">
        <v>110</v>
      </c>
      <c r="E522" t="s">
        <v>20</v>
      </c>
    </row>
    <row r="523" spans="1:5" x14ac:dyDescent="0.35">
      <c r="A523" t="s">
        <v>1024</v>
      </c>
      <c r="B523" t="s">
        <v>6</v>
      </c>
      <c r="C523" t="s">
        <v>27</v>
      </c>
      <c r="D523">
        <v>39</v>
      </c>
      <c r="E523" t="s">
        <v>20</v>
      </c>
    </row>
    <row r="524" spans="1:5" x14ac:dyDescent="0.35">
      <c r="A524" t="s">
        <v>1025</v>
      </c>
      <c r="B524" t="s">
        <v>6</v>
      </c>
      <c r="C524" t="s">
        <v>706</v>
      </c>
      <c r="D524">
        <v>40</v>
      </c>
      <c r="E524" t="s">
        <v>20</v>
      </c>
    </row>
    <row r="525" spans="1:5" x14ac:dyDescent="0.35">
      <c r="A525" t="s">
        <v>1026</v>
      </c>
      <c r="B525" t="s">
        <v>6</v>
      </c>
      <c r="C525" t="s">
        <v>1027</v>
      </c>
      <c r="D525">
        <v>85</v>
      </c>
      <c r="E525" t="s">
        <v>20</v>
      </c>
    </row>
    <row r="526" spans="1:5" x14ac:dyDescent="0.35">
      <c r="A526" t="s">
        <v>1028</v>
      </c>
      <c r="B526" t="s">
        <v>6</v>
      </c>
      <c r="C526" t="s">
        <v>1029</v>
      </c>
      <c r="D526">
        <v>26</v>
      </c>
      <c r="E526" t="s">
        <v>959</v>
      </c>
    </row>
    <row r="527" spans="1:5" x14ac:dyDescent="0.35">
      <c r="A527" t="s">
        <v>1030</v>
      </c>
      <c r="B527" t="s">
        <v>631</v>
      </c>
      <c r="C527" t="s">
        <v>487</v>
      </c>
      <c r="D527">
        <v>87</v>
      </c>
      <c r="E527" t="s">
        <v>20</v>
      </c>
    </row>
    <row r="528" spans="1:5" x14ac:dyDescent="0.35">
      <c r="A528" t="s">
        <v>1031</v>
      </c>
      <c r="B528" t="s">
        <v>6</v>
      </c>
      <c r="C528" t="s">
        <v>271</v>
      </c>
      <c r="D528">
        <v>97</v>
      </c>
      <c r="E528" t="s">
        <v>20</v>
      </c>
    </row>
    <row r="529" spans="1:5" x14ac:dyDescent="0.35">
      <c r="A529" t="s">
        <v>1032</v>
      </c>
      <c r="B529" t="s">
        <v>6</v>
      </c>
      <c r="C529" t="s">
        <v>740</v>
      </c>
      <c r="D529">
        <v>118</v>
      </c>
      <c r="E529" t="s">
        <v>20</v>
      </c>
    </row>
    <row r="530" spans="1:5" x14ac:dyDescent="0.35">
      <c r="A530" t="s">
        <v>1033</v>
      </c>
      <c r="B530" t="s">
        <v>180</v>
      </c>
      <c r="C530" t="s">
        <v>1034</v>
      </c>
      <c r="D530">
        <v>23</v>
      </c>
      <c r="E530" t="s">
        <v>20</v>
      </c>
    </row>
    <row r="531" spans="1:5" x14ac:dyDescent="0.35">
      <c r="A531" t="s">
        <v>1035</v>
      </c>
      <c r="B531" t="s">
        <v>6</v>
      </c>
      <c r="C531" t="s">
        <v>1036</v>
      </c>
      <c r="D531">
        <v>40</v>
      </c>
      <c r="E531" t="s">
        <v>20</v>
      </c>
    </row>
    <row r="532" spans="1:5" x14ac:dyDescent="0.35">
      <c r="A532" t="s">
        <v>1037</v>
      </c>
      <c r="B532" t="s">
        <v>6</v>
      </c>
      <c r="C532" t="s">
        <v>373</v>
      </c>
      <c r="D532">
        <v>98</v>
      </c>
      <c r="E532" t="s">
        <v>20</v>
      </c>
    </row>
    <row r="533" spans="1:5" x14ac:dyDescent="0.35">
      <c r="A533" t="s">
        <v>1038</v>
      </c>
      <c r="B533" t="s">
        <v>6</v>
      </c>
      <c r="C533" t="s">
        <v>1039</v>
      </c>
      <c r="D533">
        <v>80</v>
      </c>
      <c r="E533" t="s">
        <v>20</v>
      </c>
    </row>
    <row r="534" spans="1:5" x14ac:dyDescent="0.35">
      <c r="A534" t="s">
        <v>1040</v>
      </c>
      <c r="B534" t="s">
        <v>631</v>
      </c>
      <c r="C534" t="s">
        <v>1041</v>
      </c>
      <c r="D534">
        <v>108</v>
      </c>
      <c r="E534" t="s">
        <v>20</v>
      </c>
    </row>
    <row r="535" spans="1:5" x14ac:dyDescent="0.35">
      <c r="A535" t="s">
        <v>1042</v>
      </c>
      <c r="B535" t="s">
        <v>6</v>
      </c>
      <c r="C535" t="s">
        <v>1043</v>
      </c>
      <c r="D535">
        <v>79</v>
      </c>
      <c r="E535" t="s">
        <v>45</v>
      </c>
    </row>
    <row r="536" spans="1:5" x14ac:dyDescent="0.35">
      <c r="A536" t="s">
        <v>1044</v>
      </c>
      <c r="B536" t="s">
        <v>6</v>
      </c>
      <c r="C536" t="s">
        <v>230</v>
      </c>
      <c r="D536">
        <v>74</v>
      </c>
      <c r="E536" t="s">
        <v>20</v>
      </c>
    </row>
    <row r="537" spans="1:5" x14ac:dyDescent="0.35">
      <c r="A537" t="s">
        <v>1045</v>
      </c>
      <c r="B537" t="s">
        <v>6</v>
      </c>
      <c r="C537" t="s">
        <v>120</v>
      </c>
      <c r="D537">
        <v>90</v>
      </c>
      <c r="E537" t="s">
        <v>20</v>
      </c>
    </row>
    <row r="538" spans="1:5" x14ac:dyDescent="0.35">
      <c r="A538" t="s">
        <v>1046</v>
      </c>
      <c r="B538" t="s">
        <v>6</v>
      </c>
      <c r="C538" t="s">
        <v>1047</v>
      </c>
      <c r="D538">
        <v>137</v>
      </c>
      <c r="E538" t="s">
        <v>20</v>
      </c>
    </row>
    <row r="539" spans="1:5" x14ac:dyDescent="0.35">
      <c r="A539" t="s">
        <v>1048</v>
      </c>
      <c r="B539" t="s">
        <v>1049</v>
      </c>
      <c r="C539" t="s">
        <v>73</v>
      </c>
      <c r="D539">
        <v>71</v>
      </c>
      <c r="E539" t="s">
        <v>20</v>
      </c>
    </row>
    <row r="540" spans="1:5" x14ac:dyDescent="0.35">
      <c r="A540" t="s">
        <v>1050</v>
      </c>
      <c r="B540" t="s">
        <v>6</v>
      </c>
      <c r="C540" t="s">
        <v>1051</v>
      </c>
      <c r="D540">
        <v>98</v>
      </c>
      <c r="E540" t="s">
        <v>20</v>
      </c>
    </row>
    <row r="541" spans="1:5" x14ac:dyDescent="0.35">
      <c r="A541" t="s">
        <v>1052</v>
      </c>
      <c r="B541" t="s">
        <v>210</v>
      </c>
      <c r="C541" t="s">
        <v>639</v>
      </c>
      <c r="D541">
        <v>70</v>
      </c>
      <c r="E541" t="s">
        <v>20</v>
      </c>
    </row>
    <row r="542" spans="1:5" x14ac:dyDescent="0.35">
      <c r="A542" t="s">
        <v>1053</v>
      </c>
      <c r="B542" t="s">
        <v>6</v>
      </c>
      <c r="C542" t="s">
        <v>1054</v>
      </c>
      <c r="D542">
        <v>99</v>
      </c>
      <c r="E542" t="s">
        <v>20</v>
      </c>
    </row>
    <row r="543" spans="1:5" x14ac:dyDescent="0.35">
      <c r="A543" t="s">
        <v>1055</v>
      </c>
      <c r="B543" t="s">
        <v>6</v>
      </c>
      <c r="C543" t="s">
        <v>1056</v>
      </c>
      <c r="D543">
        <v>40</v>
      </c>
      <c r="E543" t="s">
        <v>20</v>
      </c>
    </row>
    <row r="544" spans="1:5" x14ac:dyDescent="0.35">
      <c r="A544" t="s">
        <v>1057</v>
      </c>
      <c r="B544" t="s">
        <v>6</v>
      </c>
      <c r="C544" t="s">
        <v>719</v>
      </c>
      <c r="D544">
        <v>104</v>
      </c>
      <c r="E544" t="s">
        <v>20</v>
      </c>
    </row>
    <row r="545" spans="1:5" x14ac:dyDescent="0.35">
      <c r="A545" t="s">
        <v>1058</v>
      </c>
      <c r="B545" t="s">
        <v>1059</v>
      </c>
      <c r="C545" t="s">
        <v>1060</v>
      </c>
      <c r="D545">
        <v>149</v>
      </c>
      <c r="E545" t="s">
        <v>24</v>
      </c>
    </row>
    <row r="546" spans="1:5" x14ac:dyDescent="0.35">
      <c r="A546" t="s">
        <v>1061</v>
      </c>
      <c r="B546" t="s">
        <v>6</v>
      </c>
      <c r="C546" t="s">
        <v>654</v>
      </c>
      <c r="D546">
        <v>124</v>
      </c>
      <c r="E546" t="s">
        <v>20</v>
      </c>
    </row>
    <row r="547" spans="1:5" x14ac:dyDescent="0.35">
      <c r="A547" t="s">
        <v>1062</v>
      </c>
      <c r="B547" t="s">
        <v>6</v>
      </c>
      <c r="C547" t="s">
        <v>1063</v>
      </c>
      <c r="D547">
        <v>144</v>
      </c>
      <c r="E547" t="s">
        <v>20</v>
      </c>
    </row>
    <row r="548" spans="1:5" x14ac:dyDescent="0.35">
      <c r="A548" t="s">
        <v>1064</v>
      </c>
      <c r="B548" t="s">
        <v>6</v>
      </c>
      <c r="C548" t="s">
        <v>353</v>
      </c>
      <c r="D548">
        <v>85</v>
      </c>
      <c r="E548" t="s">
        <v>20</v>
      </c>
    </row>
    <row r="549" spans="1:5" x14ac:dyDescent="0.35">
      <c r="A549" t="s">
        <v>1065</v>
      </c>
      <c r="B549" t="s">
        <v>6</v>
      </c>
      <c r="C549" t="s">
        <v>398</v>
      </c>
      <c r="D549">
        <v>100</v>
      </c>
      <c r="E549" t="s">
        <v>20</v>
      </c>
    </row>
    <row r="550" spans="1:5" x14ac:dyDescent="0.35">
      <c r="A550" t="s">
        <v>1066</v>
      </c>
      <c r="B550" t="s">
        <v>6</v>
      </c>
      <c r="C550" t="s">
        <v>1067</v>
      </c>
      <c r="D550">
        <v>94</v>
      </c>
      <c r="E550" t="s">
        <v>20</v>
      </c>
    </row>
    <row r="551" spans="1:5" x14ac:dyDescent="0.35">
      <c r="A551" t="s">
        <v>1068</v>
      </c>
      <c r="B551" t="s">
        <v>43</v>
      </c>
      <c r="C551" t="s">
        <v>1069</v>
      </c>
      <c r="D551">
        <v>125</v>
      </c>
      <c r="E551" t="s">
        <v>20</v>
      </c>
    </row>
    <row r="552" spans="1:5" x14ac:dyDescent="0.35">
      <c r="A552" t="s">
        <v>1070</v>
      </c>
      <c r="B552" t="s">
        <v>6</v>
      </c>
      <c r="C552" t="s">
        <v>1071</v>
      </c>
      <c r="D552">
        <v>84</v>
      </c>
      <c r="E552" t="s">
        <v>20</v>
      </c>
    </row>
    <row r="553" spans="1:5" x14ac:dyDescent="0.35">
      <c r="A553" t="s">
        <v>1072</v>
      </c>
      <c r="B553" t="s">
        <v>43</v>
      </c>
      <c r="C553" t="s">
        <v>63</v>
      </c>
      <c r="D553">
        <v>117</v>
      </c>
      <c r="E553" t="s">
        <v>24</v>
      </c>
    </row>
    <row r="554" spans="1:5" x14ac:dyDescent="0.35">
      <c r="A554" t="s">
        <v>1073</v>
      </c>
      <c r="B554" t="s">
        <v>1074</v>
      </c>
      <c r="C554" t="s">
        <v>1075</v>
      </c>
      <c r="D554">
        <v>15</v>
      </c>
      <c r="E554" t="s">
        <v>20</v>
      </c>
    </row>
    <row r="555" spans="1:5" x14ac:dyDescent="0.35">
      <c r="A555" t="s">
        <v>1076</v>
      </c>
      <c r="B555" t="s">
        <v>699</v>
      </c>
      <c r="C555" t="s">
        <v>1077</v>
      </c>
      <c r="D555">
        <v>136</v>
      </c>
      <c r="E555" t="s">
        <v>1078</v>
      </c>
    </row>
    <row r="556" spans="1:5" x14ac:dyDescent="0.35">
      <c r="A556" t="s">
        <v>1079</v>
      </c>
      <c r="B556" t="s">
        <v>6</v>
      </c>
      <c r="C556" t="s">
        <v>560</v>
      </c>
      <c r="D556">
        <v>76</v>
      </c>
      <c r="E556" t="s">
        <v>20</v>
      </c>
    </row>
    <row r="557" spans="1:5" x14ac:dyDescent="0.35">
      <c r="A557" t="s">
        <v>1080</v>
      </c>
      <c r="B557" t="s">
        <v>6</v>
      </c>
      <c r="C557" t="s">
        <v>669</v>
      </c>
      <c r="D557">
        <v>108</v>
      </c>
      <c r="E557" t="s">
        <v>20</v>
      </c>
    </row>
    <row r="558" spans="1:5" x14ac:dyDescent="0.35">
      <c r="A558" t="s">
        <v>1081</v>
      </c>
      <c r="B558" t="s">
        <v>6</v>
      </c>
      <c r="C558" t="s">
        <v>387</v>
      </c>
      <c r="D558">
        <v>94</v>
      </c>
      <c r="E558" t="s">
        <v>20</v>
      </c>
    </row>
    <row r="559" spans="1:5" x14ac:dyDescent="0.35">
      <c r="A559" t="s">
        <v>1082</v>
      </c>
      <c r="B559" t="s">
        <v>631</v>
      </c>
      <c r="C559" t="s">
        <v>1083</v>
      </c>
      <c r="D559">
        <v>90</v>
      </c>
      <c r="E559" t="s">
        <v>20</v>
      </c>
    </row>
    <row r="560" spans="1:5" x14ac:dyDescent="0.35">
      <c r="A560" t="s">
        <v>1084</v>
      </c>
      <c r="B560" t="s">
        <v>979</v>
      </c>
      <c r="C560" t="s">
        <v>1085</v>
      </c>
      <c r="D560">
        <v>72</v>
      </c>
      <c r="E560" t="s">
        <v>12</v>
      </c>
    </row>
    <row r="561" spans="1:5" x14ac:dyDescent="0.35">
      <c r="A561" t="s">
        <v>1086</v>
      </c>
      <c r="B561" t="s">
        <v>43</v>
      </c>
      <c r="C561" t="s">
        <v>1087</v>
      </c>
      <c r="D561">
        <v>135</v>
      </c>
      <c r="E561" t="s">
        <v>12</v>
      </c>
    </row>
    <row r="562" spans="1:5" x14ac:dyDescent="0.35">
      <c r="A562" t="s">
        <v>1088</v>
      </c>
      <c r="B562" t="s">
        <v>693</v>
      </c>
      <c r="C562" t="s">
        <v>544</v>
      </c>
      <c r="D562">
        <v>12</v>
      </c>
      <c r="E562" t="s">
        <v>20</v>
      </c>
    </row>
    <row r="563" spans="1:5" x14ac:dyDescent="0.35">
      <c r="A563" t="s">
        <v>1089</v>
      </c>
      <c r="B563" t="s">
        <v>287</v>
      </c>
      <c r="C563" t="s">
        <v>1034</v>
      </c>
      <c r="D563">
        <v>209</v>
      </c>
      <c r="E563" t="s">
        <v>20</v>
      </c>
    </row>
    <row r="564" spans="1:5" x14ac:dyDescent="0.35">
      <c r="A564" t="s">
        <v>1090</v>
      </c>
      <c r="B564" t="s">
        <v>43</v>
      </c>
      <c r="C564" t="s">
        <v>1091</v>
      </c>
      <c r="D564">
        <v>130</v>
      </c>
      <c r="E564" t="s">
        <v>20</v>
      </c>
    </row>
    <row r="565" spans="1:5" x14ac:dyDescent="0.35">
      <c r="A565" t="s">
        <v>1092</v>
      </c>
      <c r="B565" t="s">
        <v>6</v>
      </c>
      <c r="C565" t="s">
        <v>650</v>
      </c>
      <c r="D565">
        <v>82</v>
      </c>
      <c r="E565" t="s">
        <v>20</v>
      </c>
    </row>
    <row r="566" spans="1:5" x14ac:dyDescent="0.35">
      <c r="A566" t="s">
        <v>1093</v>
      </c>
      <c r="B566" t="s">
        <v>6</v>
      </c>
      <c r="C566" t="s">
        <v>1094</v>
      </c>
      <c r="D566">
        <v>120</v>
      </c>
      <c r="E566" t="s">
        <v>20</v>
      </c>
    </row>
    <row r="567" spans="1:5" x14ac:dyDescent="0.35">
      <c r="A567" t="s">
        <v>1095</v>
      </c>
      <c r="B567" t="s">
        <v>43</v>
      </c>
      <c r="C567" t="s">
        <v>1096</v>
      </c>
      <c r="D567">
        <v>136</v>
      </c>
      <c r="E567" t="s">
        <v>20</v>
      </c>
    </row>
    <row r="568" spans="1:5" x14ac:dyDescent="0.35">
      <c r="A568" t="s">
        <v>1097</v>
      </c>
      <c r="B568" t="s">
        <v>6</v>
      </c>
      <c r="C568" t="s">
        <v>1098</v>
      </c>
      <c r="D568">
        <v>112</v>
      </c>
      <c r="E568" t="s">
        <v>20</v>
      </c>
    </row>
    <row r="569" spans="1:5" x14ac:dyDescent="0.35">
      <c r="A569" t="s">
        <v>1099</v>
      </c>
      <c r="B569" t="s">
        <v>6</v>
      </c>
      <c r="C569" t="s">
        <v>600</v>
      </c>
      <c r="D569">
        <v>105</v>
      </c>
      <c r="E569" t="s">
        <v>20</v>
      </c>
    </row>
    <row r="570" spans="1:5" x14ac:dyDescent="0.35">
      <c r="A570" t="s">
        <v>1100</v>
      </c>
      <c r="B570" t="s">
        <v>6</v>
      </c>
      <c r="C570" t="s">
        <v>840</v>
      </c>
      <c r="D570">
        <v>89</v>
      </c>
      <c r="E570" t="s">
        <v>20</v>
      </c>
    </row>
    <row r="571" spans="1:5" x14ac:dyDescent="0.35">
      <c r="A571" t="s">
        <v>1101</v>
      </c>
      <c r="B571" t="s">
        <v>6</v>
      </c>
      <c r="C571" t="s">
        <v>1102</v>
      </c>
      <c r="D571">
        <v>85</v>
      </c>
      <c r="E571" t="s">
        <v>20</v>
      </c>
    </row>
    <row r="572" spans="1:5" x14ac:dyDescent="0.35">
      <c r="A572" t="s">
        <v>1103</v>
      </c>
      <c r="B572" t="s">
        <v>6</v>
      </c>
      <c r="C572" t="s">
        <v>1104</v>
      </c>
      <c r="D572">
        <v>106</v>
      </c>
      <c r="E572" t="s">
        <v>20</v>
      </c>
    </row>
    <row r="573" spans="1:5" x14ac:dyDescent="0.35">
      <c r="A573" t="s">
        <v>1105</v>
      </c>
      <c r="B573" t="s">
        <v>6</v>
      </c>
      <c r="C573" t="s">
        <v>982</v>
      </c>
      <c r="D573">
        <v>100</v>
      </c>
      <c r="E573" t="s">
        <v>20</v>
      </c>
    </row>
    <row r="574" spans="1:5" x14ac:dyDescent="0.35">
      <c r="A574" t="s">
        <v>1106</v>
      </c>
      <c r="B574" t="s">
        <v>6</v>
      </c>
      <c r="C574" t="s">
        <v>323</v>
      </c>
      <c r="D574">
        <v>107</v>
      </c>
      <c r="E574" t="s">
        <v>20</v>
      </c>
    </row>
    <row r="575" spans="1:5" x14ac:dyDescent="0.35">
      <c r="A575" t="s">
        <v>1107</v>
      </c>
      <c r="B575" t="s">
        <v>1108</v>
      </c>
      <c r="C575" t="s">
        <v>279</v>
      </c>
      <c r="D575">
        <v>97</v>
      </c>
      <c r="E575" t="s">
        <v>20</v>
      </c>
    </row>
    <row r="576" spans="1:5" x14ac:dyDescent="0.35">
      <c r="A576" t="s">
        <v>1109</v>
      </c>
      <c r="B576" t="s">
        <v>6</v>
      </c>
      <c r="C576" t="s">
        <v>1110</v>
      </c>
      <c r="D576">
        <v>89</v>
      </c>
      <c r="E576" t="s">
        <v>20</v>
      </c>
    </row>
    <row r="577" spans="1:5" x14ac:dyDescent="0.35">
      <c r="A577" t="s">
        <v>1111</v>
      </c>
      <c r="B577" t="s">
        <v>6</v>
      </c>
      <c r="C577" t="s">
        <v>1043</v>
      </c>
      <c r="D577">
        <v>109</v>
      </c>
      <c r="E577" t="s">
        <v>12</v>
      </c>
    </row>
    <row r="578" spans="1:5" x14ac:dyDescent="0.35">
      <c r="A578" t="s">
        <v>1112</v>
      </c>
      <c r="B578" t="s">
        <v>6</v>
      </c>
      <c r="C578" t="s">
        <v>1113</v>
      </c>
      <c r="D578">
        <v>114</v>
      </c>
      <c r="E578" t="s">
        <v>20</v>
      </c>
    </row>
    <row r="579" spans="1:5" x14ac:dyDescent="0.35">
      <c r="A579" t="s">
        <v>1114</v>
      </c>
      <c r="B579" t="s">
        <v>6</v>
      </c>
      <c r="C579" t="s">
        <v>1115</v>
      </c>
      <c r="D579">
        <v>51</v>
      </c>
      <c r="E579" t="s">
        <v>20</v>
      </c>
    </row>
    <row r="580" spans="1:5" x14ac:dyDescent="0.35">
      <c r="A580" t="s">
        <v>1116</v>
      </c>
      <c r="B580" t="s">
        <v>631</v>
      </c>
      <c r="C580" t="s">
        <v>1117</v>
      </c>
      <c r="D580">
        <v>85</v>
      </c>
      <c r="E580" t="s">
        <v>20</v>
      </c>
    </row>
    <row r="581" spans="1:5" x14ac:dyDescent="0.35">
      <c r="A581" t="s">
        <v>1118</v>
      </c>
      <c r="B581" t="s">
        <v>631</v>
      </c>
      <c r="C581" t="s">
        <v>1119</v>
      </c>
      <c r="D581">
        <v>125</v>
      </c>
      <c r="E581" t="s">
        <v>20</v>
      </c>
    </row>
    <row r="582" spans="1:5" x14ac:dyDescent="0.35">
      <c r="A582" t="s">
        <v>1120</v>
      </c>
      <c r="B582" t="s">
        <v>6</v>
      </c>
      <c r="C582" t="s">
        <v>1121</v>
      </c>
      <c r="D582">
        <v>91</v>
      </c>
      <c r="E582" t="s">
        <v>1122</v>
      </c>
    </row>
    <row r="583" spans="1:5" x14ac:dyDescent="0.35">
      <c r="A583" t="s">
        <v>1123</v>
      </c>
      <c r="B583" t="s">
        <v>414</v>
      </c>
      <c r="C583" t="s">
        <v>1124</v>
      </c>
      <c r="D583">
        <v>153</v>
      </c>
      <c r="E583" t="s">
        <v>20</v>
      </c>
    </row>
    <row r="584" spans="1:5" x14ac:dyDescent="0.35">
      <c r="A584" t="s">
        <v>1125</v>
      </c>
      <c r="B584" t="s">
        <v>6</v>
      </c>
      <c r="C584" t="s">
        <v>1126</v>
      </c>
      <c r="D584">
        <v>89</v>
      </c>
      <c r="E584" t="s">
        <v>102</v>
      </c>
    </row>
    <row r="585" spans="1:5" x14ac:dyDescent="0.35">
      <c r="A585" t="s">
        <v>1127</v>
      </c>
      <c r="B585" t="s">
        <v>6</v>
      </c>
      <c r="C585" t="s">
        <v>1128</v>
      </c>
      <c r="D585">
        <v>83</v>
      </c>
      <c r="E585" t="s">
        <v>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40618D-3BB5-4AEA-A99D-A3CA31C38D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Netflix Movies (2)</vt:lpstr>
      <vt:lpstr>Netflix Movies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Abiodun Balogun</cp:lastModifiedBy>
  <dcterms:created xsi:type="dcterms:W3CDTF">2022-01-27T21:07:05Z</dcterms:created>
  <dcterms:modified xsi:type="dcterms:W3CDTF">2022-02-02T19:38:57Z</dcterms:modified>
</cp:coreProperties>
</file>